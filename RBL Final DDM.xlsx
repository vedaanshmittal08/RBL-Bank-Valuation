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1fc77914beae7/Vedaansh/DCF MODEL/"/>
    </mc:Choice>
  </mc:AlternateContent>
  <xr:revisionPtr revIDLastSave="644" documentId="8_{E93B730D-57B6-4C78-BA48-B96BD1E5420B}" xr6:coauthVersionLast="47" xr6:coauthVersionMax="47" xr10:uidLastSave="{7C297725-3CB3-40F3-B0BF-C6A774B052F5}"/>
  <bookViews>
    <workbookView xWindow="1464" yWindow="1464" windowWidth="17280" windowHeight="8880" xr2:uid="{88F8F434-D53F-4636-BBC0-2681E3D87298}"/>
  </bookViews>
  <sheets>
    <sheet name="Cover" sheetId="4" r:id="rId1"/>
    <sheet name="Raw Data" sheetId="5" r:id="rId2"/>
    <sheet name="Financials" sheetId="3" r:id="rId3"/>
    <sheet name="Schedule" sheetId="6" r:id="rId4"/>
    <sheet name="Assumptions" sheetId="2" r:id="rId5"/>
    <sheet name="DDM" sheetId="1" r:id="rId6"/>
  </sheets>
  <definedNames>
    <definedName name="Divisor_Cr">Financials!$M$6</definedName>
    <definedName name="_xlnm.Print_Area" localSheetId="4">Assumptions!$A$1:$H$34</definedName>
    <definedName name="_xlnm.Print_Area" localSheetId="0">Cover!$A$1:$U$27</definedName>
    <definedName name="_xlnm.Print_Area" localSheetId="5">DDM!$A$1:$N$37</definedName>
    <definedName name="_xlnm.Print_Area" localSheetId="2">Financials!$B$1:$N$86</definedName>
    <definedName name="_xlnm.Print_Area" localSheetId="1">'Raw Data'!$A$1:$F$70</definedName>
    <definedName name="_xlnm.Print_Area" localSheetId="3">Schedule!$B$1:$M$87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B36" i="1"/>
  <c r="B9" i="1" s="1"/>
  <c r="B35" i="1"/>
  <c r="B8" i="1" s="1"/>
  <c r="D15" i="1" s="1"/>
  <c r="B23" i="1" s="1"/>
  <c r="I23" i="1"/>
  <c r="K21" i="1"/>
  <c r="I65" i="3"/>
  <c r="H65" i="3"/>
  <c r="G65" i="3"/>
  <c r="G63" i="3"/>
  <c r="H63" i="3" s="1"/>
  <c r="I63" i="3" s="1"/>
  <c r="I41" i="3"/>
  <c r="H41" i="3"/>
  <c r="G41" i="3"/>
  <c r="I34" i="3"/>
  <c r="H34" i="3"/>
  <c r="G34" i="3"/>
  <c r="F31" i="3"/>
  <c r="I22" i="3"/>
  <c r="H22" i="3"/>
  <c r="G22" i="3"/>
  <c r="I20" i="3"/>
  <c r="H20" i="3"/>
  <c r="G20" i="3"/>
  <c r="I19" i="3"/>
  <c r="H19" i="3"/>
  <c r="G19" i="3"/>
  <c r="B31" i="1"/>
  <c r="H18" i="6"/>
  <c r="I18" i="6" s="1"/>
  <c r="G18" i="6"/>
  <c r="I64" i="6"/>
  <c r="H64" i="6"/>
  <c r="G64" i="6"/>
  <c r="I57" i="6"/>
  <c r="H57" i="6"/>
  <c r="G57" i="6"/>
  <c r="I50" i="6"/>
  <c r="H50" i="6"/>
  <c r="G50" i="6"/>
  <c r="I43" i="6"/>
  <c r="H43" i="6"/>
  <c r="G43" i="6"/>
  <c r="H37" i="6"/>
  <c r="I37" i="6"/>
  <c r="G37" i="6"/>
  <c r="I24" i="6"/>
  <c r="H24" i="6"/>
  <c r="G24" i="6"/>
  <c r="I15" i="6"/>
  <c r="H15" i="6"/>
  <c r="G15" i="6"/>
  <c r="I9" i="6"/>
  <c r="H9" i="6"/>
  <c r="G9" i="6"/>
  <c r="B15" i="1" l="1"/>
  <c r="C15" i="1"/>
  <c r="F18" i="6"/>
  <c r="E18" i="6"/>
  <c r="D18" i="6"/>
  <c r="E66" i="5"/>
  <c r="D66" i="5"/>
  <c r="C66" i="5"/>
  <c r="E65" i="5"/>
  <c r="D65" i="5"/>
  <c r="C65" i="5"/>
  <c r="E58" i="5"/>
  <c r="D58" i="5"/>
  <c r="C58" i="5"/>
  <c r="D24" i="6"/>
  <c r="D15" i="6"/>
  <c r="D9" i="6"/>
  <c r="D84" i="6"/>
  <c r="D40" i="3"/>
  <c r="D85" i="6"/>
  <c r="F83" i="6"/>
  <c r="E83" i="6"/>
  <c r="D83" i="6"/>
  <c r="F71" i="3"/>
  <c r="F66" i="6" s="1"/>
  <c r="E71" i="3"/>
  <c r="E72" i="6" s="1"/>
  <c r="D71" i="3"/>
  <c r="D72" i="6" s="1"/>
  <c r="F58" i="3"/>
  <c r="F31" i="6" s="1"/>
  <c r="F65" i="3"/>
  <c r="F64" i="3"/>
  <c r="F63" i="3"/>
  <c r="E65" i="3"/>
  <c r="E64" i="3"/>
  <c r="E63" i="3"/>
  <c r="D65" i="3"/>
  <c r="D64" i="3"/>
  <c r="D63" i="3"/>
  <c r="E58" i="3"/>
  <c r="E31" i="6" s="1"/>
  <c r="D58" i="3"/>
  <c r="D31" i="6" s="1"/>
  <c r="F57" i="3"/>
  <c r="F23" i="6" s="1"/>
  <c r="G23" i="6" s="1"/>
  <c r="G57" i="3" s="1"/>
  <c r="E57" i="3"/>
  <c r="E30" i="6" s="1"/>
  <c r="D57" i="3"/>
  <c r="D30" i="6" s="1"/>
  <c r="E56" i="3"/>
  <c r="E65" i="6" s="1"/>
  <c r="F56" i="3"/>
  <c r="F62" i="3"/>
  <c r="E62" i="3"/>
  <c r="D62" i="3"/>
  <c r="D56" i="3"/>
  <c r="D65" i="6" s="1"/>
  <c r="E50" i="3"/>
  <c r="F50" i="3"/>
  <c r="D50" i="3"/>
  <c r="F47" i="3"/>
  <c r="E47" i="3"/>
  <c r="D47" i="3"/>
  <c r="F46" i="3"/>
  <c r="E46" i="3"/>
  <c r="E14" i="6" s="1"/>
  <c r="D46" i="3"/>
  <c r="D14" i="6" s="1"/>
  <c r="F42" i="3"/>
  <c r="E42" i="3"/>
  <c r="D42" i="3"/>
  <c r="F41" i="3"/>
  <c r="E41" i="3"/>
  <c r="D41" i="3"/>
  <c r="F40" i="3"/>
  <c r="E40" i="3"/>
  <c r="F29" i="3"/>
  <c r="F59" i="6" s="1"/>
  <c r="E29" i="3"/>
  <c r="E59" i="6" s="1"/>
  <c r="D29" i="3"/>
  <c r="D59" i="6" s="1"/>
  <c r="E31" i="3"/>
  <c r="D31" i="3"/>
  <c r="F27" i="3"/>
  <c r="F52" i="6" s="1"/>
  <c r="E27" i="3"/>
  <c r="E52" i="6" s="1"/>
  <c r="D27" i="3"/>
  <c r="D52" i="6" s="1"/>
  <c r="F13" i="3"/>
  <c r="G13" i="3" s="1"/>
  <c r="H13" i="3" s="1"/>
  <c r="I13" i="3" s="1"/>
  <c r="E13" i="3"/>
  <c r="D13" i="3"/>
  <c r="F12" i="3"/>
  <c r="E12" i="3"/>
  <c r="D12" i="3"/>
  <c r="F11" i="3"/>
  <c r="E11" i="3"/>
  <c r="D11" i="3"/>
  <c r="F9" i="3"/>
  <c r="G9" i="3" s="1"/>
  <c r="H9" i="3" s="1"/>
  <c r="I9" i="3" s="1"/>
  <c r="E9" i="3"/>
  <c r="D9" i="3"/>
  <c r="F8" i="3"/>
  <c r="E8" i="3"/>
  <c r="D8" i="3"/>
  <c r="F7" i="3"/>
  <c r="D32" i="2" s="1"/>
  <c r="E7" i="3"/>
  <c r="D7" i="3"/>
  <c r="F6" i="3"/>
  <c r="E6" i="3"/>
  <c r="D6" i="3"/>
  <c r="F23" i="3"/>
  <c r="G23" i="3" s="1"/>
  <c r="H23" i="3" s="1"/>
  <c r="I23" i="3" s="1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G17" i="3" s="1"/>
  <c r="E17" i="3"/>
  <c r="D17" i="3"/>
  <c r="D31" i="2" l="1"/>
  <c r="I18" i="3"/>
  <c r="G18" i="3"/>
  <c r="H18" i="3"/>
  <c r="H17" i="3"/>
  <c r="E14" i="3"/>
  <c r="F14" i="3"/>
  <c r="I40" i="3"/>
  <c r="H40" i="3"/>
  <c r="G40" i="3"/>
  <c r="G7" i="3"/>
  <c r="H23" i="6"/>
  <c r="H57" i="3" s="1"/>
  <c r="G30" i="6"/>
  <c r="E15" i="6"/>
  <c r="F84" i="6"/>
  <c r="F48" i="3"/>
  <c r="E66" i="6"/>
  <c r="E64" i="6" s="1"/>
  <c r="F43" i="3"/>
  <c r="F81" i="3" s="1"/>
  <c r="F59" i="3"/>
  <c r="E48" i="3"/>
  <c r="E84" i="6"/>
  <c r="E85" i="6"/>
  <c r="D23" i="6"/>
  <c r="F30" i="6"/>
  <c r="F65" i="6"/>
  <c r="F64" i="6" s="1"/>
  <c r="F72" i="6"/>
  <c r="E23" i="6"/>
  <c r="F24" i="6" s="1"/>
  <c r="D58" i="6"/>
  <c r="D57" i="6" s="1"/>
  <c r="F85" i="6"/>
  <c r="D48" i="3"/>
  <c r="D8" i="6"/>
  <c r="E58" i="6"/>
  <c r="E57" i="6" s="1"/>
  <c r="E43" i="3"/>
  <c r="E81" i="3" s="1"/>
  <c r="E8" i="6"/>
  <c r="E80" i="3" s="1"/>
  <c r="D29" i="6"/>
  <c r="D32" i="6" s="1"/>
  <c r="D44" i="6" s="1"/>
  <c r="D66" i="6"/>
  <c r="D64" i="6" s="1"/>
  <c r="F58" i="6"/>
  <c r="F57" i="6" s="1"/>
  <c r="F8" i="6"/>
  <c r="E29" i="6"/>
  <c r="E32" i="6" s="1"/>
  <c r="E44" i="6" s="1"/>
  <c r="F29" i="6"/>
  <c r="F32" i="6" s="1"/>
  <c r="F44" i="6" s="1"/>
  <c r="F14" i="6"/>
  <c r="D43" i="3"/>
  <c r="D86" i="6" s="1"/>
  <c r="F66" i="3"/>
  <c r="F68" i="3" s="1"/>
  <c r="E66" i="3"/>
  <c r="D66" i="3"/>
  <c r="E59" i="3"/>
  <c r="D59" i="3"/>
  <c r="E24" i="3"/>
  <c r="E45" i="6" s="1"/>
  <c r="D24" i="3"/>
  <c r="D45" i="6" s="1"/>
  <c r="F24" i="3"/>
  <c r="F45" i="6" s="1"/>
  <c r="E10" i="3"/>
  <c r="F10" i="3"/>
  <c r="D10" i="3"/>
  <c r="D14" i="3"/>
  <c r="F80" i="3" l="1"/>
  <c r="G8" i="6"/>
  <c r="G56" i="3" s="1"/>
  <c r="E79" i="3"/>
  <c r="F15" i="6"/>
  <c r="G14" i="6"/>
  <c r="G46" i="3" s="1"/>
  <c r="F79" i="3"/>
  <c r="I23" i="6"/>
  <c r="I57" i="3" s="1"/>
  <c r="H7" i="3"/>
  <c r="H30" i="6"/>
  <c r="I17" i="3"/>
  <c r="F9" i="6"/>
  <c r="D43" i="6"/>
  <c r="F52" i="3"/>
  <c r="F86" i="6"/>
  <c r="F71" i="6"/>
  <c r="F73" i="6" s="1"/>
  <c r="E43" i="6"/>
  <c r="E86" i="6"/>
  <c r="E82" i="3" s="1"/>
  <c r="E71" i="6"/>
  <c r="E73" i="6" s="1"/>
  <c r="E9" i="6"/>
  <c r="E52" i="3"/>
  <c r="F43" i="6"/>
  <c r="E24" i="6"/>
  <c r="E36" i="6"/>
  <c r="F36" i="6"/>
  <c r="D81" i="6"/>
  <c r="E81" i="6" s="1"/>
  <c r="D71" i="6"/>
  <c r="D73" i="6" s="1"/>
  <c r="D52" i="3"/>
  <c r="E68" i="3"/>
  <c r="D68" i="3"/>
  <c r="F15" i="3"/>
  <c r="D15" i="3"/>
  <c r="E15" i="3"/>
  <c r="G64" i="3" l="1"/>
  <c r="G80" i="3"/>
  <c r="G47" i="3"/>
  <c r="G48" i="3" s="1"/>
  <c r="G50" i="3" s="1"/>
  <c r="G62" i="3"/>
  <c r="G66" i="3" s="1"/>
  <c r="G11" i="3"/>
  <c r="H14" i="6"/>
  <c r="H46" i="3" s="1"/>
  <c r="F82" i="3"/>
  <c r="F83" i="3" s="1"/>
  <c r="G81" i="6"/>
  <c r="I7" i="3"/>
  <c r="I30" i="6"/>
  <c r="G6" i="3"/>
  <c r="G65" i="6"/>
  <c r="G66" i="6" s="1"/>
  <c r="G31" i="6"/>
  <c r="G29" i="3"/>
  <c r="G79" i="3" s="1"/>
  <c r="G29" i="6"/>
  <c r="H8" i="6"/>
  <c r="H56" i="3" s="1"/>
  <c r="E78" i="3"/>
  <c r="E77" i="3"/>
  <c r="F78" i="3"/>
  <c r="F77" i="3"/>
  <c r="D25" i="3"/>
  <c r="D38" i="6"/>
  <c r="D37" i="6" s="1"/>
  <c r="F25" i="3"/>
  <c r="F38" i="6"/>
  <c r="F37" i="6" s="1"/>
  <c r="E25" i="3"/>
  <c r="E38" i="6"/>
  <c r="E37" i="6" s="1"/>
  <c r="F81" i="6"/>
  <c r="H47" i="3" l="1"/>
  <c r="H48" i="3" s="1"/>
  <c r="H50" i="3" s="1"/>
  <c r="H62" i="3"/>
  <c r="G72" i="6"/>
  <c r="G71" i="3"/>
  <c r="H80" i="3"/>
  <c r="H64" i="3"/>
  <c r="H65" i="6"/>
  <c r="H66" i="6" s="1"/>
  <c r="H29" i="6"/>
  <c r="H29" i="3"/>
  <c r="H79" i="3" s="1"/>
  <c r="I8" i="6"/>
  <c r="I56" i="3" s="1"/>
  <c r="H31" i="6"/>
  <c r="H6" i="3"/>
  <c r="G58" i="6"/>
  <c r="G59" i="6" s="1"/>
  <c r="G32" i="6"/>
  <c r="G12" i="3"/>
  <c r="G14" i="3" s="1"/>
  <c r="G8" i="3"/>
  <c r="G10" i="3" s="1"/>
  <c r="I14" i="6"/>
  <c r="I46" i="3" s="1"/>
  <c r="H11" i="3"/>
  <c r="F28" i="3"/>
  <c r="F30" i="3" s="1"/>
  <c r="F32" i="3" s="1"/>
  <c r="F51" i="6"/>
  <c r="F50" i="6" s="1"/>
  <c r="E28" i="3"/>
  <c r="E30" i="3" s="1"/>
  <c r="E32" i="3" s="1"/>
  <c r="E51" i="6"/>
  <c r="E50" i="6" s="1"/>
  <c r="D28" i="3"/>
  <c r="D30" i="3" s="1"/>
  <c r="D32" i="3" s="1"/>
  <c r="D51" i="6"/>
  <c r="D50" i="6" s="1"/>
  <c r="I47" i="3" l="1"/>
  <c r="I48" i="3" s="1"/>
  <c r="I50" i="3" s="1"/>
  <c r="I62" i="3"/>
  <c r="H66" i="3"/>
  <c r="I80" i="3"/>
  <c r="I64" i="3"/>
  <c r="H72" i="6"/>
  <c r="H71" i="3"/>
  <c r="G15" i="3"/>
  <c r="G21" i="3"/>
  <c r="G24" i="3" s="1"/>
  <c r="H8" i="3"/>
  <c r="H10" i="3" s="1"/>
  <c r="H12" i="3"/>
  <c r="I11" i="3"/>
  <c r="H14" i="3"/>
  <c r="I65" i="6"/>
  <c r="I66" i="6" s="1"/>
  <c r="I29" i="6"/>
  <c r="I29" i="3"/>
  <c r="I79" i="3" s="1"/>
  <c r="I31" i="6"/>
  <c r="I6" i="3"/>
  <c r="H32" i="6"/>
  <c r="H58" i="6"/>
  <c r="H59" i="6" s="1"/>
  <c r="G44" i="6"/>
  <c r="G45" i="6" s="1"/>
  <c r="G36" i="6"/>
  <c r="G38" i="6" s="1"/>
  <c r="E82" i="6"/>
  <c r="E76" i="3"/>
  <c r="E75" i="3"/>
  <c r="F82" i="6"/>
  <c r="F76" i="3"/>
  <c r="F75" i="3"/>
  <c r="E35" i="3"/>
  <c r="D82" i="6"/>
  <c r="D35" i="3"/>
  <c r="F35" i="3"/>
  <c r="G25" i="3" l="1"/>
  <c r="G27" i="3" s="1"/>
  <c r="G28" i="3"/>
  <c r="G30" i="3" s="1"/>
  <c r="G31" i="3" s="1"/>
  <c r="G32" i="3" s="1"/>
  <c r="G78" i="3"/>
  <c r="I72" i="6"/>
  <c r="I71" i="3"/>
  <c r="I66" i="3"/>
  <c r="H15" i="3"/>
  <c r="H21" i="3"/>
  <c r="H24" i="3" s="1"/>
  <c r="G51" i="6"/>
  <c r="G52" i="6" s="1"/>
  <c r="G82" i="6" s="1"/>
  <c r="G83" i="6" s="1"/>
  <c r="H36" i="6"/>
  <c r="H38" i="6" s="1"/>
  <c r="H44" i="6"/>
  <c r="H45" i="6" s="1"/>
  <c r="I8" i="3"/>
  <c r="I10" i="3" s="1"/>
  <c r="I12" i="3"/>
  <c r="I14" i="3" s="1"/>
  <c r="I32" i="6"/>
  <c r="I58" i="6"/>
  <c r="I59" i="6" s="1"/>
  <c r="H51" i="6" l="1"/>
  <c r="H25" i="3"/>
  <c r="H27" i="3" s="1"/>
  <c r="G35" i="3"/>
  <c r="G42" i="3"/>
  <c r="I15" i="3"/>
  <c r="I21" i="3"/>
  <c r="I24" i="3" s="1"/>
  <c r="I25" i="3" s="1"/>
  <c r="I27" i="3" s="1"/>
  <c r="H52" i="6"/>
  <c r="H82" i="6" s="1"/>
  <c r="H83" i="6" s="1"/>
  <c r="C14" i="1" s="1"/>
  <c r="C16" i="1" s="1"/>
  <c r="G86" i="6"/>
  <c r="B14" i="1"/>
  <c r="B16" i="1" s="1"/>
  <c r="I36" i="6"/>
  <c r="I38" i="6" s="1"/>
  <c r="I44" i="6"/>
  <c r="I45" i="6" s="1"/>
  <c r="I28" i="3" l="1"/>
  <c r="I30" i="3" s="1"/>
  <c r="I31" i="3" s="1"/>
  <c r="I32" i="3" s="1"/>
  <c r="I78" i="3"/>
  <c r="G43" i="3"/>
  <c r="H28" i="3"/>
  <c r="H30" i="3" s="1"/>
  <c r="H31" i="3" s="1"/>
  <c r="H32" i="3" s="1"/>
  <c r="H42" i="3" s="1"/>
  <c r="H78" i="3"/>
  <c r="I51" i="6"/>
  <c r="I52" i="6" s="1"/>
  <c r="I82" i="6" s="1"/>
  <c r="I83" i="6" s="1"/>
  <c r="D14" i="1" s="1"/>
  <c r="H81" i="6"/>
  <c r="H86" i="6" s="1"/>
  <c r="G71" i="6"/>
  <c r="D16" i="1" l="1"/>
  <c r="B29" i="1" s="1"/>
  <c r="B22" i="1"/>
  <c r="I42" i="3"/>
  <c r="I43" i="3" s="1"/>
  <c r="H43" i="3"/>
  <c r="H75" i="3" s="1"/>
  <c r="G82" i="3"/>
  <c r="G83" i="3" s="1"/>
  <c r="G81" i="3"/>
  <c r="G52" i="3"/>
  <c r="G58" i="3" s="1"/>
  <c r="G59" i="3" s="1"/>
  <c r="G75" i="3"/>
  <c r="H35" i="3"/>
  <c r="I35" i="3"/>
  <c r="B24" i="1"/>
  <c r="G73" i="6"/>
  <c r="G76" i="6"/>
  <c r="I81" i="6"/>
  <c r="I86" i="6" s="1"/>
  <c r="I71" i="6" s="1"/>
  <c r="H71" i="6"/>
  <c r="B30" i="1" l="1"/>
  <c r="B32" i="1" s="1"/>
  <c r="I21" i="1" s="1"/>
  <c r="I75" i="3"/>
  <c r="I82" i="3"/>
  <c r="I83" i="3" s="1"/>
  <c r="I81" i="3"/>
  <c r="I52" i="3"/>
  <c r="I58" i="3" s="1"/>
  <c r="I59" i="3" s="1"/>
  <c r="H82" i="3"/>
  <c r="H83" i="3" s="1"/>
  <c r="H81" i="3"/>
  <c r="H52" i="3"/>
  <c r="H58" i="3" s="1"/>
  <c r="H59" i="3" s="1"/>
  <c r="G68" i="3"/>
  <c r="G76" i="3" s="1"/>
  <c r="G77" i="3"/>
  <c r="H76" i="6"/>
  <c r="H73" i="6"/>
  <c r="I73" i="6"/>
  <c r="I76" i="6"/>
  <c r="H68" i="3" l="1"/>
  <c r="H76" i="3" s="1"/>
  <c r="H77" i="3"/>
  <c r="I68" i="3"/>
  <c r="I76" i="3" s="1"/>
  <c r="I77" i="3"/>
</calcChain>
</file>

<file path=xl/sharedStrings.xml><?xml version="1.0" encoding="utf-8"?>
<sst xmlns="http://schemas.openxmlformats.org/spreadsheetml/2006/main" count="368" uniqueCount="232">
  <si>
    <t>Emirates NBD - RBL Bank Deal Analysis</t>
  </si>
  <si>
    <t>RBL BANK VALUATION (DDM)</t>
  </si>
  <si>
    <t>NSE : RBLBANK</t>
  </si>
  <si>
    <t>Intrinsic Value</t>
  </si>
  <si>
    <t>Current Market Price</t>
  </si>
  <si>
    <t>Implied Downside</t>
  </si>
  <si>
    <t xml:space="preserve">Name : </t>
  </si>
  <si>
    <t>Vedaansh Mittal</t>
  </si>
  <si>
    <t>Date :</t>
  </si>
  <si>
    <t xml:space="preserve"> March 2026</t>
  </si>
  <si>
    <t>Course :</t>
  </si>
  <si>
    <t>(Bcom.H), KMV - DU</t>
  </si>
  <si>
    <t>Summary :</t>
  </si>
  <si>
    <t>The DDM valuation of RBL Bank yields an intrinsic value of approximately ₹84 per share, compared to the current market price of ₹292. This suggests that the stock is overvalued based on dividend-based valuation.</t>
  </si>
  <si>
    <t>The bank shows moderate profitability with improving ROE and stable NIM, while capital adequacy remains strong. However, lower dividend payouts and growth assumptions limit the valuation upside.</t>
  </si>
  <si>
    <t>Overall, the model indicates that RBL Bank is currently trading above its intrinsic value, and the market appears to be factoring in stronger future growth and/or higher payout expectations than those assumed in this model.</t>
  </si>
  <si>
    <t>Additionally, dividend discount models may undervalue banks with low payout ratios, as retained earnings contribute significantly to future growth.</t>
  </si>
  <si>
    <t>The valuation is sensitive to assumptions such as cost of equity and terminal growth rate.</t>
  </si>
  <si>
    <t>Event Disclosure :</t>
  </si>
  <si>
    <r>
      <rPr>
        <sz val="10"/>
        <color theme="1"/>
        <rFont val="Arial"/>
        <family val="2"/>
      </rPr>
      <t>This DDM valuation is based on RBL Bank's standalone historical performance and does not fully incorporate the pending </t>
    </r>
    <r>
      <rPr>
        <b/>
        <sz val="10"/>
        <color theme="1"/>
        <rFont val="Arial"/>
        <family val="2"/>
      </rPr>
      <t>₹26,853 crore ($3 billion)</t>
    </r>
    <r>
      <rPr>
        <sz val="10"/>
        <color theme="1"/>
        <rFont val="Arial"/>
        <family val="2"/>
      </rPr>
      <t> capital infusion from </t>
    </r>
    <r>
      <rPr>
        <b/>
        <sz val="10"/>
        <color theme="1"/>
        <rFont val="Arial"/>
        <family val="2"/>
      </rPr>
      <t>Emirates NBD</t>
    </r>
    <r>
      <rPr>
        <sz val="10"/>
        <color theme="1"/>
        <rFont val="Arial"/>
        <family val="2"/>
      </rPr>
      <t>.</t>
    </r>
  </si>
  <si>
    <t>Line item</t>
  </si>
  <si>
    <t>Units</t>
  </si>
  <si>
    <t xml:space="preserve"> Mar 23</t>
  </si>
  <si>
    <t xml:space="preserve"> Mar 24</t>
  </si>
  <si>
    <t xml:space="preserve"> Mar 25</t>
  </si>
  <si>
    <t>Income Statement (Consolidated)</t>
  </si>
  <si>
    <t>Interest Earned</t>
  </si>
  <si>
    <t>Int on Advances</t>
  </si>
  <si>
    <t>₹ ‘000s</t>
  </si>
  <si>
    <t>Int on Investments</t>
  </si>
  <si>
    <t>Interbank Int</t>
  </si>
  <si>
    <t>Others</t>
  </si>
  <si>
    <t xml:space="preserve">Interest Expended </t>
  </si>
  <si>
    <t>Interest on Deposits</t>
  </si>
  <si>
    <t>Interest on Bal with RBI and Inter bank Funds</t>
  </si>
  <si>
    <t xml:space="preserve">Other Income </t>
  </si>
  <si>
    <t>Commission, Exchange and Brokerage</t>
  </si>
  <si>
    <t>Profit/(Loss) on sale of Investments (Net)</t>
  </si>
  <si>
    <t>Profit/(Loss) on revaluation of Investment (Net)</t>
  </si>
  <si>
    <t xml:space="preserve">Profit/(Loss) on sale of land, building and other assets (Net) </t>
  </si>
  <si>
    <t>Profit/(Loss) on Exchange Transactions</t>
  </si>
  <si>
    <t xml:space="preserve">Income earned by way of dividends, etc. from subsidiaries/companies and/or joint ventures abroad/ in India </t>
  </si>
  <si>
    <t>Misc Income</t>
  </si>
  <si>
    <t xml:space="preserve">Operating Expenses </t>
  </si>
  <si>
    <t>Provision and Contingencies</t>
  </si>
  <si>
    <t>₹ cr</t>
  </si>
  <si>
    <t>Provision towards NPA (Advances)</t>
  </si>
  <si>
    <t>Provision towards NPA (Investment)</t>
  </si>
  <si>
    <t>Provision towards Standard Assets</t>
  </si>
  <si>
    <t>Provision for Others</t>
  </si>
  <si>
    <t>Provision towards Income Tax</t>
  </si>
  <si>
    <t>Provision towards Deferred Tax (Net)</t>
  </si>
  <si>
    <t>Balance Sheet (Consolidated)</t>
  </si>
  <si>
    <t>Capital and Liabilities</t>
  </si>
  <si>
    <t xml:space="preserve"> Capital</t>
  </si>
  <si>
    <t>ESOP Outstanding</t>
  </si>
  <si>
    <t>Reserves and Surplus</t>
  </si>
  <si>
    <t>Deposits</t>
  </si>
  <si>
    <t>Borrowings</t>
  </si>
  <si>
    <t>Other Liabilities and Provisions</t>
  </si>
  <si>
    <t>Assets</t>
  </si>
  <si>
    <t>Goodwill on Consolidation</t>
  </si>
  <si>
    <t>Cash and Balances with Reserve Bank of India</t>
  </si>
  <si>
    <t>Balances with Banks and Money at Call and Short Notice</t>
  </si>
  <si>
    <t>Investments</t>
  </si>
  <si>
    <t>Advances</t>
  </si>
  <si>
    <t>Fixed Assets</t>
  </si>
  <si>
    <t>Other Assets</t>
  </si>
  <si>
    <t>Contingent Liabilities</t>
  </si>
  <si>
    <t>Bills for Collection</t>
  </si>
  <si>
    <t>Risk Weighted Assets</t>
  </si>
  <si>
    <t>Dividend Paid</t>
  </si>
  <si>
    <t>DEPOSITS</t>
  </si>
  <si>
    <t>Demand Deposits</t>
  </si>
  <si>
    <t>From Banks</t>
  </si>
  <si>
    <t>From Others</t>
  </si>
  <si>
    <t>Total</t>
  </si>
  <si>
    <t>Saving Bank Deposits</t>
  </si>
  <si>
    <t>Term Deposits</t>
  </si>
  <si>
    <t>TOTAL</t>
  </si>
  <si>
    <t>Market Price</t>
  </si>
  <si>
    <t>₹</t>
  </si>
  <si>
    <t xml:space="preserve"> -</t>
  </si>
  <si>
    <t>INCOME STATEMENT</t>
  </si>
  <si>
    <t>Reporting Unit (Raw Data)</t>
  </si>
  <si>
    <t>₹ in ‘000s</t>
  </si>
  <si>
    <t>Metric</t>
  </si>
  <si>
    <t>Units (₹ cr)</t>
  </si>
  <si>
    <t xml:space="preserve"> Mar 23 </t>
  </si>
  <si>
    <t>Mar 26E</t>
  </si>
  <si>
    <t xml:space="preserve"> Mar 27E</t>
  </si>
  <si>
    <t xml:space="preserve"> Mar 28E</t>
  </si>
  <si>
    <t>Target Unit (Financials)</t>
  </si>
  <si>
    <t>₹ in crore</t>
  </si>
  <si>
    <t>Interest on Advances</t>
  </si>
  <si>
    <t>Divisor_Cr</t>
  </si>
  <si>
    <t>Interest on Investments</t>
  </si>
  <si>
    <t>Interest Income</t>
  </si>
  <si>
    <t>Interest Expenses</t>
  </si>
  <si>
    <t>Net Interest Income (NII)</t>
  </si>
  <si>
    <t>Income earned by way of dividends, etc. from subsidiaries/companies and/or joint ventures abroad/ in India this is the item</t>
  </si>
  <si>
    <t>Total Other Income</t>
  </si>
  <si>
    <t>Net Total Reveue</t>
  </si>
  <si>
    <t>(Operating Expenses)</t>
  </si>
  <si>
    <t>Pre Provision Operating Profit (PPOP)</t>
  </si>
  <si>
    <t>(Provisions and Contingencies)</t>
  </si>
  <si>
    <t>PBT</t>
  </si>
  <si>
    <t>(Tax)</t>
  </si>
  <si>
    <t>Net Profit (PAT)</t>
  </si>
  <si>
    <t>Weighted Average Shares (Diluted)</t>
  </si>
  <si>
    <t>EPS (Diluted)</t>
  </si>
  <si>
    <t>BALANCE SHEET</t>
  </si>
  <si>
    <t>EQUITY</t>
  </si>
  <si>
    <t>Share Capital</t>
  </si>
  <si>
    <t>Employee Stock Option Outstanding</t>
  </si>
  <si>
    <t>Total Equity</t>
  </si>
  <si>
    <t>FUNDING</t>
  </si>
  <si>
    <t>Total Funding</t>
  </si>
  <si>
    <t>OTHER NON INTEREST LIABILITIES</t>
  </si>
  <si>
    <t>Total Capital and Liabilities</t>
  </si>
  <si>
    <t>EARNING ASSETS</t>
  </si>
  <si>
    <t>Advances (Loans)</t>
  </si>
  <si>
    <t xml:space="preserve">Balance with Banks </t>
  </si>
  <si>
    <t>Total Earning Assets</t>
  </si>
  <si>
    <t>NON EARNING ASSETS</t>
  </si>
  <si>
    <t xml:space="preserve">Cash and Balances with RBI </t>
  </si>
  <si>
    <t>Goodwill</t>
  </si>
  <si>
    <t>Total Non Earning assets</t>
  </si>
  <si>
    <t>Total Assets</t>
  </si>
  <si>
    <t>REGULATORY METRICS</t>
  </si>
  <si>
    <t>RATIOS</t>
  </si>
  <si>
    <t>Return On Equity (ROI%)</t>
  </si>
  <si>
    <t>Return On Assets (ROA%)</t>
  </si>
  <si>
    <t>Net Interest Margin (NIM%)</t>
  </si>
  <si>
    <t>Cost To Income Ratio (%)</t>
  </si>
  <si>
    <t>Credit Cost Ratio (%)</t>
  </si>
  <si>
    <t>Loan To Deposit Ratio (%)</t>
  </si>
  <si>
    <t>Capital Adequacy Ratio (%)</t>
  </si>
  <si>
    <t>Book Value Per Share (BVPS)</t>
  </si>
  <si>
    <t>P/B Muiltiple</t>
  </si>
  <si>
    <t>SCHEDULES</t>
  </si>
  <si>
    <t>Metrics</t>
  </si>
  <si>
    <t>FY23</t>
  </si>
  <si>
    <t>FY24</t>
  </si>
  <si>
    <t>FY25</t>
  </si>
  <si>
    <t>FY26E</t>
  </si>
  <si>
    <t>FY27E</t>
  </si>
  <si>
    <t>FY28E</t>
  </si>
  <si>
    <t>ADVANCES (LOANS)</t>
  </si>
  <si>
    <t>Loan Growth %</t>
  </si>
  <si>
    <t>Deposit Growth %</t>
  </si>
  <si>
    <t>Breakdown</t>
  </si>
  <si>
    <t>Term Deposits %</t>
  </si>
  <si>
    <t>INVESTMENTS</t>
  </si>
  <si>
    <t>Investment Growth %</t>
  </si>
  <si>
    <t>Balance with Bank</t>
  </si>
  <si>
    <t>NET INTEREST INCOME</t>
  </si>
  <si>
    <t xml:space="preserve">Average Earning Assets </t>
  </si>
  <si>
    <t>Net Interest Margin %</t>
  </si>
  <si>
    <t>Net Interest Income</t>
  </si>
  <si>
    <t>NON INTEREST INCOME</t>
  </si>
  <si>
    <t>Non Interest Income % of Earning Assets</t>
  </si>
  <si>
    <t>Earning Assets</t>
  </si>
  <si>
    <t>Non Interest Income</t>
  </si>
  <si>
    <t>OPERATING EXPENSES</t>
  </si>
  <si>
    <t>Cost to Income %</t>
  </si>
  <si>
    <t>Net Total Revenue</t>
  </si>
  <si>
    <t>Operating Expenses</t>
  </si>
  <si>
    <t>CREDIT COST</t>
  </si>
  <si>
    <t>Credit Cost % (of Advances)</t>
  </si>
  <si>
    <t>Average Advances</t>
  </si>
  <si>
    <t>Credit Provisions</t>
  </si>
  <si>
    <t>RISK WEIGHTED ASSETS</t>
  </si>
  <si>
    <t>RWA / Advances %</t>
  </si>
  <si>
    <t>CAPITAL ADEQUACY</t>
  </si>
  <si>
    <t>Equity (Roll Forwarded)</t>
  </si>
  <si>
    <t>CET1 RATIO</t>
  </si>
  <si>
    <t>Target CET1 % (Assumption)</t>
  </si>
  <si>
    <t>Excess / (Shortfall) Capital</t>
  </si>
  <si>
    <t>EQUITY ROLL FORWARD</t>
  </si>
  <si>
    <t>Opening Equity</t>
  </si>
  <si>
    <t>PAT</t>
  </si>
  <si>
    <t>(Dividends)</t>
  </si>
  <si>
    <t>Change in Share Capital</t>
  </si>
  <si>
    <t>Change in ESOP</t>
  </si>
  <si>
    <t>Closing Equity</t>
  </si>
  <si>
    <t>ASSUMPTIONS AND DRIVERS</t>
  </si>
  <si>
    <t>Driver Name</t>
  </si>
  <si>
    <t>Terminal</t>
  </si>
  <si>
    <t>GROWTH ASSUMPTIONS</t>
  </si>
  <si>
    <t>investment Growth %</t>
  </si>
  <si>
    <t>Other Assets Growth %</t>
  </si>
  <si>
    <t>PROFITABILITY DRIVERS</t>
  </si>
  <si>
    <t>Cost To Income Ratio %</t>
  </si>
  <si>
    <t>Credit cost % (Advances)</t>
  </si>
  <si>
    <t>Non Interest Income / Earning Assets %</t>
  </si>
  <si>
    <t>TAX AND OUTPUT</t>
  </si>
  <si>
    <t>Effective Tax Rate %</t>
  </si>
  <si>
    <t>Dividend Payout Ratio %</t>
  </si>
  <si>
    <t>CAPITAL AND REGULATORY</t>
  </si>
  <si>
    <t>Target CAR %</t>
  </si>
  <si>
    <t>Target CET1 %</t>
  </si>
  <si>
    <t>VALUATION</t>
  </si>
  <si>
    <t>Cost of Equity %</t>
  </si>
  <si>
    <t>Terminal Growth %</t>
  </si>
  <si>
    <t>YEILD</t>
  </si>
  <si>
    <t>Yield on Advances</t>
  </si>
  <si>
    <t>Yield on Investment</t>
  </si>
  <si>
    <t>Yield on Bank</t>
  </si>
  <si>
    <t>RBL BANK - DIVIDEND DISCOUNT MODEL</t>
  </si>
  <si>
    <t>ASSUMPTIONS</t>
  </si>
  <si>
    <t>Item</t>
  </si>
  <si>
    <t>Value</t>
  </si>
  <si>
    <t>Cost of Equity</t>
  </si>
  <si>
    <t>Terminal Growth</t>
  </si>
  <si>
    <t>DIVIDENDS</t>
  </si>
  <si>
    <t>Year</t>
  </si>
  <si>
    <t>Dividends</t>
  </si>
  <si>
    <t>Discount Factor</t>
  </si>
  <si>
    <t>PV of Dividends</t>
  </si>
  <si>
    <t>SENSITIVITY ANALYSIS</t>
  </si>
  <si>
    <t>TERMINAL VALUE</t>
  </si>
  <si>
    <t>Terminal Value</t>
  </si>
  <si>
    <t>Discount Factor (FY28)</t>
  </si>
  <si>
    <t>PV of Terminal Value</t>
  </si>
  <si>
    <t>Base Case: Cost of Equity = 13.5%, Terminal Growth = 4.0%</t>
  </si>
  <si>
    <t>Total PV of Dividends</t>
  </si>
  <si>
    <t>Equity Value</t>
  </si>
  <si>
    <t>Shares Outstanding</t>
  </si>
  <si>
    <t>Implied Share Price</t>
  </si>
  <si>
    <t>Z1</t>
  </si>
  <si>
    <t>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</si>
</sst>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%"/>
    <numFmt numFmtId="166" formatCode="0.00_);\(0.00\)"/>
    <numFmt numFmtId="167" formatCode="0.0000"/>
    <numFmt numFmtId="168" formatCode="&quot;₹&quot;\ #,##0.00"/>
    <numFmt numFmtId="169" formatCode="&quot;₹&quot;\ #,##0"/>
    <numFmt numFmtId="170" formatCode="#,##0.00_ ;\-#,##0.00\ "/>
    <numFmt numFmtId="171" formatCode="#,##0.000000000000_ ;\-#,##0.000000000000\ "/>
    <numFmt numFmtId="172" formatCode="#,##0.00000000000_ ;\-#,##0.00000000000\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1472B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39" fontId="0" fillId="0" borderId="3" xfId="0" applyNumberFormat="1" applyBorder="1" applyAlignment="1">
      <alignment horizontal="right"/>
    </xf>
    <xf numFmtId="39" fontId="4" fillId="0" borderId="0" xfId="0" applyNumberFormat="1" applyFont="1" applyAlignment="1">
      <alignment horizontal="right"/>
    </xf>
    <xf numFmtId="39" fontId="0" fillId="0" borderId="4" xfId="0" applyNumberFormat="1" applyBorder="1" applyAlignment="1">
      <alignment horizontal="right"/>
    </xf>
    <xf numFmtId="3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5" xfId="0" applyBorder="1" applyAlignment="1">
      <alignment horizontal="center"/>
    </xf>
    <xf numFmtId="39" fontId="0" fillId="0" borderId="5" xfId="0" applyNumberFormat="1" applyBorder="1" applyAlignment="1">
      <alignment horizontal="right"/>
    </xf>
    <xf numFmtId="39" fontId="0" fillId="0" borderId="7" xfId="0" applyNumberFormat="1" applyBorder="1" applyAlignment="1">
      <alignment horizontal="right"/>
    </xf>
    <xf numFmtId="39" fontId="0" fillId="0" borderId="8" xfId="0" applyNumberFormat="1" applyBorder="1" applyAlignment="1">
      <alignment horizontal="right"/>
    </xf>
    <xf numFmtId="39" fontId="0" fillId="0" borderId="6" xfId="0" applyNumberFormat="1" applyBorder="1" applyAlignment="1">
      <alignment horizontal="right"/>
    </xf>
    <xf numFmtId="10" fontId="0" fillId="0" borderId="6" xfId="0" applyNumberForma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9" fontId="0" fillId="0" borderId="2" xfId="0" applyNumberFormat="1" applyBorder="1" applyAlignment="1">
      <alignment horizontal="right"/>
    </xf>
    <xf numFmtId="39" fontId="0" fillId="2" borderId="7" xfId="0" applyNumberFormat="1" applyFill="1" applyBorder="1" applyAlignment="1">
      <alignment horizontal="right"/>
    </xf>
    <xf numFmtId="0" fontId="0" fillId="0" borderId="11" xfId="0" applyBorder="1"/>
    <xf numFmtId="0" fontId="0" fillId="0" borderId="5" xfId="0" applyBorder="1"/>
    <xf numFmtId="39" fontId="0" fillId="2" borderId="5" xfId="0" applyNumberFormat="1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1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5" fillId="0" borderId="4" xfId="0" applyFont="1" applyBorder="1" applyAlignment="1">
      <alignment horizontal="left"/>
    </xf>
    <xf numFmtId="0" fontId="0" fillId="0" borderId="10" xfId="0" applyBorder="1" applyAlignment="1">
      <alignment horizontal="center"/>
    </xf>
    <xf numFmtId="39" fontId="0" fillId="0" borderId="10" xfId="0" applyNumberFormat="1" applyBorder="1" applyAlignment="1">
      <alignment horizontal="right"/>
    </xf>
    <xf numFmtId="39" fontId="0" fillId="0" borderId="13" xfId="0" applyNumberFormat="1" applyBorder="1" applyAlignment="1">
      <alignment horizontal="right"/>
    </xf>
    <xf numFmtId="0" fontId="4" fillId="0" borderId="10" xfId="0" applyFont="1" applyBorder="1" applyAlignment="1">
      <alignment horizontal="center"/>
    </xf>
    <xf numFmtId="165" fontId="0" fillId="0" borderId="0" xfId="0" applyNumberFormat="1" applyAlignment="1">
      <alignment horizontal="right"/>
    </xf>
    <xf numFmtId="165" fontId="0" fillId="0" borderId="6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right"/>
    </xf>
    <xf numFmtId="39" fontId="0" fillId="0" borderId="5" xfId="1" applyNumberFormat="1" applyFont="1" applyBorder="1" applyAlignment="1">
      <alignment horizontal="right"/>
    </xf>
    <xf numFmtId="39" fontId="0" fillId="0" borderId="0" xfId="1" applyNumberFormat="1" applyFont="1" applyBorder="1" applyAlignment="1">
      <alignment horizontal="right"/>
    </xf>
    <xf numFmtId="39" fontId="0" fillId="0" borderId="4" xfId="1" applyNumberFormat="1" applyFont="1" applyBorder="1" applyAlignment="1">
      <alignment horizontal="right"/>
    </xf>
    <xf numFmtId="39" fontId="0" fillId="0" borderId="0" xfId="0" applyNumberFormat="1"/>
    <xf numFmtId="3" fontId="0" fillId="0" borderId="0" xfId="0" applyNumberFormat="1"/>
    <xf numFmtId="0" fontId="7" fillId="0" borderId="0" xfId="0" applyFont="1"/>
    <xf numFmtId="0" fontId="7" fillId="0" borderId="0" xfId="0" quotePrefix="1" applyFont="1"/>
    <xf numFmtId="39" fontId="8" fillId="0" borderId="0" xfId="0" applyNumberFormat="1" applyFont="1" applyAlignment="1">
      <alignment horizontal="right"/>
    </xf>
    <xf numFmtId="0" fontId="4" fillId="0" borderId="0" xfId="0" applyFont="1"/>
    <xf numFmtId="3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39" fontId="8" fillId="0" borderId="0" xfId="1" applyNumberFormat="1" applyFont="1" applyBorder="1" applyAlignment="1">
      <alignment horizontal="right"/>
    </xf>
    <xf numFmtId="4" fontId="0" fillId="0" borderId="0" xfId="0" applyNumberFormat="1"/>
    <xf numFmtId="166" fontId="0" fillId="0" borderId="0" xfId="0" applyNumberFormat="1"/>
    <xf numFmtId="0" fontId="7" fillId="0" borderId="10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horizontal="left" indent="1"/>
    </xf>
    <xf numFmtId="0" fontId="7" fillId="0" borderId="3" xfId="0" applyFont="1" applyBorder="1" applyAlignment="1">
      <alignment horizontal="left" indent="1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0" xfId="0" applyFont="1" applyBorder="1" applyAlignment="1">
      <alignment horizontal="left"/>
    </xf>
    <xf numFmtId="39" fontId="0" fillId="0" borderId="14" xfId="0" applyNumberFormat="1" applyBorder="1" applyAlignment="1">
      <alignment horizontal="right"/>
    </xf>
    <xf numFmtId="39" fontId="0" fillId="0" borderId="15" xfId="0" applyNumberFormat="1" applyBorder="1" applyAlignment="1">
      <alignment horizontal="right"/>
    </xf>
    <xf numFmtId="39" fontId="8" fillId="0" borderId="4" xfId="0" applyNumberFormat="1" applyFont="1" applyBorder="1" applyAlignment="1">
      <alignment horizontal="right"/>
    </xf>
    <xf numFmtId="0" fontId="10" fillId="0" borderId="0" xfId="0" applyFont="1"/>
    <xf numFmtId="0" fontId="11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/>
    </xf>
    <xf numFmtId="4" fontId="12" fillId="0" borderId="0" xfId="0" applyNumberFormat="1" applyFont="1"/>
    <xf numFmtId="4" fontId="12" fillId="0" borderId="16" xfId="0" applyNumberFormat="1" applyFont="1" applyBorder="1"/>
    <xf numFmtId="0" fontId="7" fillId="0" borderId="4" xfId="0" applyFont="1" applyBorder="1"/>
    <xf numFmtId="0" fontId="7" fillId="0" borderId="17" xfId="0" applyFont="1" applyBorder="1"/>
    <xf numFmtId="10" fontId="0" fillId="0" borderId="0" xfId="0" applyNumberFormat="1"/>
    <xf numFmtId="2" fontId="0" fillId="0" borderId="0" xfId="0" applyNumberFormat="1"/>
    <xf numFmtId="4" fontId="0" fillId="0" borderId="0" xfId="0" applyNumberFormat="1" applyAlignment="1">
      <alignment horizontal="right"/>
    </xf>
    <xf numFmtId="39" fontId="8" fillId="0" borderId="0" xfId="0" applyNumberFormat="1" applyFont="1"/>
    <xf numFmtId="10" fontId="8" fillId="0" borderId="0" xfId="0" applyNumberFormat="1" applyFont="1"/>
    <xf numFmtId="10" fontId="13" fillId="3" borderId="0" xfId="0" applyNumberFormat="1" applyFont="1" applyFill="1"/>
    <xf numFmtId="4" fontId="8" fillId="0" borderId="0" xfId="0" applyNumberFormat="1" applyFont="1"/>
    <xf numFmtId="9" fontId="14" fillId="0" borderId="0" xfId="0" applyNumberFormat="1" applyFont="1"/>
    <xf numFmtId="2" fontId="14" fillId="0" borderId="0" xfId="0" applyNumberFormat="1" applyFont="1"/>
    <xf numFmtId="10" fontId="14" fillId="0" borderId="0" xfId="0" applyNumberFormat="1" applyFont="1"/>
    <xf numFmtId="10" fontId="8" fillId="0" borderId="0" xfId="0" applyNumberFormat="1" applyFont="1" applyAlignment="1">
      <alignment horizontal="right"/>
    </xf>
    <xf numFmtId="0" fontId="8" fillId="0" borderId="0" xfId="0" applyFont="1"/>
    <xf numFmtId="0" fontId="11" fillId="0" borderId="16" xfId="0" applyFont="1" applyBorder="1" applyAlignment="1">
      <alignment horizontal="left"/>
    </xf>
    <xf numFmtId="0" fontId="11" fillId="0" borderId="16" xfId="0" applyFont="1" applyBorder="1"/>
    <xf numFmtId="167" fontId="0" fillId="0" borderId="0" xfId="0" applyNumberFormat="1"/>
    <xf numFmtId="0" fontId="12" fillId="0" borderId="0" xfId="0" applyFont="1"/>
    <xf numFmtId="0" fontId="7" fillId="3" borderId="0" xfId="0" applyFont="1" applyFill="1" applyAlignment="1">
      <alignment horizontal="center"/>
    </xf>
    <xf numFmtId="0" fontId="7" fillId="0" borderId="10" xfId="0" applyFont="1" applyBorder="1" applyAlignment="1">
      <alignment horizontal="left" indent="1"/>
    </xf>
    <xf numFmtId="0" fontId="7" fillId="2" borderId="1" xfId="0" applyFont="1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0" fontId="0" fillId="3" borderId="3" xfId="0" applyFill="1" applyBorder="1" applyAlignment="1">
      <alignment horizontal="left" indent="1"/>
    </xf>
    <xf numFmtId="0" fontId="7" fillId="0" borderId="4" xfId="0" applyFont="1" applyBorder="1" applyAlignment="1">
      <alignment horizontal="left" indent="1"/>
    </xf>
    <xf numFmtId="2" fontId="7" fillId="3" borderId="3" xfId="0" applyNumberFormat="1" applyFont="1" applyFill="1" applyBorder="1" applyAlignment="1">
      <alignment horizontal="center"/>
    </xf>
    <xf numFmtId="2" fontId="0" fillId="0" borderId="4" xfId="0" applyNumberFormat="1" applyBorder="1"/>
    <xf numFmtId="168" fontId="7" fillId="0" borderId="10" xfId="0" applyNumberFormat="1" applyFont="1" applyBorder="1"/>
    <xf numFmtId="2" fontId="0" fillId="0" borderId="1" xfId="0" applyNumberFormat="1" applyBorder="1" applyAlignment="1">
      <alignment horizontal="right"/>
    </xf>
    <xf numFmtId="0" fontId="15" fillId="0" borderId="0" xfId="0" applyFont="1"/>
    <xf numFmtId="169" fontId="0" fillId="0" borderId="0" xfId="0" applyNumberFormat="1"/>
    <xf numFmtId="17" fontId="0" fillId="0" borderId="0" xfId="0" applyNumberFormat="1"/>
    <xf numFmtId="0" fontId="16" fillId="0" borderId="0" xfId="0" applyFont="1"/>
    <xf numFmtId="9" fontId="0" fillId="0" borderId="0" xfId="0" applyNumberFormat="1" applyAlignment="1">
      <alignment horizontal="right"/>
    </xf>
    <xf numFmtId="2" fontId="0" fillId="0" borderId="6" xfId="0" applyNumberFormat="1" applyBorder="1" applyAlignment="1">
      <alignment horizontal="right"/>
    </xf>
    <xf numFmtId="39" fontId="0" fillId="0" borderId="18" xfId="0" applyNumberFormat="1" applyBorder="1" applyAlignment="1">
      <alignment horizontal="right"/>
    </xf>
    <xf numFmtId="39" fontId="0" fillId="0" borderId="19" xfId="0" applyNumberFormat="1" applyBorder="1" applyAlignment="1">
      <alignment horizontal="right"/>
    </xf>
    <xf numFmtId="170" fontId="8" fillId="0" borderId="0" xfId="0" applyNumberFormat="1" applyFont="1" applyAlignment="1">
      <alignment horizontal="right"/>
    </xf>
    <xf numFmtId="39" fontId="0" fillId="0" borderId="1" xfId="0" applyNumberFormat="1" applyBorder="1"/>
    <xf numFmtId="0" fontId="0" fillId="0" borderId="20" xfId="0" applyBorder="1"/>
    <xf numFmtId="39" fontId="0" fillId="0" borderId="22" xfId="0" applyNumberFormat="1" applyBorder="1" applyAlignment="1">
      <alignment horizontal="right"/>
    </xf>
    <xf numFmtId="39" fontId="0" fillId="0" borderId="23" xfId="0" applyNumberFormat="1" applyBorder="1" applyAlignment="1">
      <alignment horizontal="right"/>
    </xf>
    <xf numFmtId="39" fontId="0" fillId="0" borderId="21" xfId="0" applyNumberFormat="1" applyBorder="1" applyAlignment="1">
      <alignment horizontal="right"/>
    </xf>
    <xf numFmtId="39" fontId="0" fillId="0" borderId="24" xfId="0" applyNumberFormat="1" applyBorder="1" applyAlignment="1">
      <alignment horizontal="right"/>
    </xf>
    <xf numFmtId="39" fontId="0" fillId="0" borderId="25" xfId="0" applyNumberFormat="1" applyBorder="1" applyAlignment="1">
      <alignment horizontal="right"/>
    </xf>
    <xf numFmtId="39" fontId="0" fillId="0" borderId="26" xfId="0" applyNumberFormat="1" applyBorder="1" applyAlignment="1">
      <alignment horizontal="right"/>
    </xf>
    <xf numFmtId="39" fontId="4" fillId="0" borderId="23" xfId="0" applyNumberFormat="1" applyFont="1" applyBorder="1" applyAlignment="1">
      <alignment horizontal="right"/>
    </xf>
    <xf numFmtId="39" fontId="4" fillId="0" borderId="18" xfId="0" applyNumberFormat="1" applyFont="1" applyBorder="1" applyAlignment="1">
      <alignment horizontal="right"/>
    </xf>
    <xf numFmtId="4" fontId="0" fillId="0" borderId="18" xfId="0" applyNumberFormat="1" applyBorder="1" applyAlignment="1">
      <alignment horizontal="right"/>
    </xf>
    <xf numFmtId="39" fontId="4" fillId="0" borderId="22" xfId="0" applyNumberFormat="1" applyFont="1" applyBorder="1" applyAlignment="1">
      <alignment horizontal="right"/>
    </xf>
    <xf numFmtId="39" fontId="0" fillId="0" borderId="27" xfId="0" applyNumberFormat="1" applyBorder="1" applyAlignment="1">
      <alignment horizontal="right"/>
    </xf>
    <xf numFmtId="39" fontId="0" fillId="0" borderId="28" xfId="0" applyNumberFormat="1" applyBorder="1" applyAlignment="1">
      <alignment horizontal="right"/>
    </xf>
    <xf numFmtId="39" fontId="4" fillId="0" borderId="29" xfId="0" applyNumberFormat="1" applyFont="1" applyBorder="1" applyAlignment="1">
      <alignment horizontal="right"/>
    </xf>
    <xf numFmtId="171" fontId="0" fillId="0" borderId="0" xfId="0" applyNumberFormat="1"/>
    <xf numFmtId="172" fontId="0" fillId="0" borderId="0" xfId="0" applyNumberFormat="1"/>
    <xf numFmtId="39" fontId="4" fillId="0" borderId="26" xfId="0" applyNumberFormat="1" applyFont="1" applyBorder="1" applyAlignment="1">
      <alignment horizontal="right"/>
    </xf>
    <xf numFmtId="4" fontId="0" fillId="0" borderId="6" xfId="0" applyNumberFormat="1" applyBorder="1" applyAlignment="1">
      <alignment horizontal="right"/>
    </xf>
    <xf numFmtId="4" fontId="0" fillId="0" borderId="9" xfId="0" applyNumberFormat="1" applyBorder="1" applyAlignment="1">
      <alignment horizontal="right"/>
    </xf>
    <xf numFmtId="4" fontId="0" fillId="0" borderId="1" xfId="0" applyNumberFormat="1" applyBorder="1"/>
    <xf numFmtId="10" fontId="0" fillId="4" borderId="30" xfId="0" applyNumberFormat="1" applyFill="1" applyBorder="1" applyAlignment="1">
      <alignment horizontal="center"/>
    </xf>
    <xf numFmtId="10" fontId="0" fillId="4" borderId="31" xfId="0" applyNumberFormat="1" applyFill="1" applyBorder="1" applyAlignment="1">
      <alignment horizontal="center"/>
    </xf>
    <xf numFmtId="10" fontId="0" fillId="4" borderId="33" xfId="0" applyNumberFormat="1" applyFill="1" applyBorder="1" applyAlignment="1">
      <alignment horizontal="center"/>
    </xf>
    <xf numFmtId="10" fontId="0" fillId="4" borderId="28" xfId="0" applyNumberFormat="1" applyFill="1" applyBorder="1" applyAlignment="1">
      <alignment horizontal="center"/>
    </xf>
    <xf numFmtId="10" fontId="0" fillId="4" borderId="35" xfId="0" applyNumberFormat="1" applyFill="1" applyBorder="1" applyAlignment="1">
      <alignment horizontal="center"/>
    </xf>
    <xf numFmtId="168" fontId="0" fillId="5" borderId="32" xfId="0" applyNumberFormat="1" applyFill="1" applyBorder="1" applyAlignment="1">
      <alignment horizontal="center"/>
    </xf>
    <xf numFmtId="168" fontId="0" fillId="6" borderId="34" xfId="0" applyNumberFormat="1" applyFill="1" applyBorder="1" applyAlignment="1">
      <alignment horizontal="center"/>
    </xf>
    <xf numFmtId="168" fontId="0" fillId="6" borderId="37" xfId="0" applyNumberFormat="1" applyFill="1" applyBorder="1" applyAlignment="1">
      <alignment horizontal="center"/>
    </xf>
    <xf numFmtId="168" fontId="0" fillId="6" borderId="25" xfId="0" applyNumberFormat="1" applyFill="1" applyBorder="1" applyAlignment="1">
      <alignment horizontal="center"/>
    </xf>
    <xf numFmtId="168" fontId="0" fillId="7" borderId="34" xfId="0" applyNumberFormat="1" applyFill="1" applyBorder="1" applyAlignment="1">
      <alignment horizontal="center"/>
    </xf>
    <xf numFmtId="168" fontId="0" fillId="7" borderId="38" xfId="0" applyNumberFormat="1" applyFill="1" applyBorder="1" applyAlignment="1">
      <alignment horizontal="center"/>
    </xf>
    <xf numFmtId="168" fontId="0" fillId="8" borderId="18" xfId="0" applyNumberFormat="1" applyFill="1" applyBorder="1" applyAlignment="1">
      <alignment horizontal="center"/>
    </xf>
    <xf numFmtId="168" fontId="0" fillId="8" borderId="36" xfId="0" applyNumberFormat="1" applyFill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1472B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68C8-B533-4F88-95C6-3296DA6C2B93}">
  <sheetPr>
    <pageSetUpPr fitToPage="1"/>
  </sheetPr>
  <dimension ref="A2:I25"/>
  <sheetViews>
    <sheetView showGridLines="0" tabSelected="1" zoomScale="70" zoomScaleNormal="70" workbookViewId="0">
      <selection activeCell="K9" sqref="K9"/>
    </sheetView>
  </sheetViews>
  <sheetFormatPr defaultRowHeight="14.4" x14ac:dyDescent="0.3"/>
  <cols>
    <col min="1" max="1" width="15.33203125" customWidth="1"/>
    <col min="4" max="4" width="17.33203125" customWidth="1"/>
  </cols>
  <sheetData>
    <row r="2" spans="1:9" ht="15.6" x14ac:dyDescent="0.3">
      <c r="A2" s="107" t="s">
        <v>0</v>
      </c>
    </row>
    <row r="4" spans="1:9" ht="28.8" x14ac:dyDescent="0.55000000000000004">
      <c r="D4" s="154" t="s">
        <v>1</v>
      </c>
      <c r="E4" s="71"/>
      <c r="I4" t="s">
        <v>2</v>
      </c>
    </row>
    <row r="6" spans="1:9" x14ac:dyDescent="0.3">
      <c r="D6" t="s">
        <v>3</v>
      </c>
      <c r="E6" s="108">
        <v>83.72</v>
      </c>
    </row>
    <row r="7" spans="1:9" x14ac:dyDescent="0.3">
      <c r="D7" t="s">
        <v>4</v>
      </c>
      <c r="E7" s="108">
        <v>292</v>
      </c>
    </row>
    <row r="8" spans="1:9" x14ac:dyDescent="0.3">
      <c r="D8" s="50" t="s">
        <v>5</v>
      </c>
      <c r="E8" s="111">
        <f>(E6-E7)/E7</f>
        <v>-0.71328767123287673</v>
      </c>
    </row>
    <row r="11" spans="1:9" x14ac:dyDescent="0.3">
      <c r="A11" t="s">
        <v>6</v>
      </c>
      <c r="B11" t="s">
        <v>7</v>
      </c>
      <c r="G11" t="s">
        <v>8</v>
      </c>
      <c r="H11" s="109" t="s">
        <v>9</v>
      </c>
    </row>
    <row r="12" spans="1:9" x14ac:dyDescent="0.3">
      <c r="A12" t="s">
        <v>10</v>
      </c>
      <c r="B12" t="s">
        <v>11</v>
      </c>
    </row>
    <row r="16" spans="1:9" x14ac:dyDescent="0.3">
      <c r="A16" t="s">
        <v>12</v>
      </c>
      <c r="B16" t="s">
        <v>13</v>
      </c>
    </row>
    <row r="18" spans="1:2" x14ac:dyDescent="0.3">
      <c r="B18" t="s">
        <v>14</v>
      </c>
    </row>
    <row r="20" spans="1:2" x14ac:dyDescent="0.3">
      <c r="B20" t="s">
        <v>15</v>
      </c>
    </row>
    <row r="21" spans="1:2" x14ac:dyDescent="0.3">
      <c r="B21" t="s">
        <v>16</v>
      </c>
    </row>
    <row r="23" spans="1:2" x14ac:dyDescent="0.3">
      <c r="B23" t="s">
        <v>17</v>
      </c>
    </row>
    <row r="25" spans="1:2" x14ac:dyDescent="0.3">
      <c r="A25" s="50" t="s">
        <v>18</v>
      </c>
      <c r="B25" s="110" t="s">
        <v>19</v>
      </c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55E9-A307-44D0-9055-F44CAE65177D}">
  <sheetPr>
    <pageSetUpPr fitToPage="1"/>
  </sheetPr>
  <dimension ref="A2:E68"/>
  <sheetViews>
    <sheetView showGridLines="0" zoomScale="79" zoomScaleNormal="79" workbookViewId="0">
      <pane ySplit="2" topLeftCell="A3" activePane="bottomLeft" state="frozen"/>
      <selection pane="bottomLeft" activeCell="G65" sqref="G65"/>
    </sheetView>
  </sheetViews>
  <sheetFormatPr defaultRowHeight="14.4" x14ac:dyDescent="0.3"/>
  <cols>
    <col min="1" max="1" width="48.44140625" customWidth="1"/>
    <col min="2" max="2" width="10.88671875" bestFit="1" customWidth="1"/>
    <col min="3" max="3" width="12.5546875" customWidth="1"/>
    <col min="4" max="5" width="13.44140625" customWidth="1"/>
  </cols>
  <sheetData>
    <row r="2" spans="1:5" x14ac:dyDescent="0.3">
      <c r="A2" s="50" t="s">
        <v>20</v>
      </c>
      <c r="B2" s="50" t="s">
        <v>21</v>
      </c>
      <c r="C2" s="51" t="s">
        <v>22</v>
      </c>
      <c r="D2" s="51" t="s">
        <v>23</v>
      </c>
      <c r="E2" s="50" t="s">
        <v>24</v>
      </c>
    </row>
    <row r="3" spans="1:5" x14ac:dyDescent="0.3">
      <c r="A3" s="50" t="s">
        <v>25</v>
      </c>
      <c r="B3" s="50"/>
      <c r="C3" s="51"/>
      <c r="D3" s="51"/>
      <c r="E3" s="50"/>
    </row>
    <row r="4" spans="1:5" x14ac:dyDescent="0.3">
      <c r="A4" s="57" t="s">
        <v>26</v>
      </c>
    </row>
    <row r="5" spans="1:5" x14ac:dyDescent="0.3">
      <c r="A5" s="28" t="s">
        <v>27</v>
      </c>
      <c r="B5" t="s">
        <v>28</v>
      </c>
      <c r="C5" s="49">
        <v>76763582</v>
      </c>
      <c r="D5" s="49">
        <v>99776574</v>
      </c>
      <c r="E5" s="49">
        <v>112247590</v>
      </c>
    </row>
    <row r="6" spans="1:5" x14ac:dyDescent="0.3">
      <c r="A6" s="28" t="s">
        <v>29</v>
      </c>
      <c r="B6" t="s">
        <v>28</v>
      </c>
      <c r="C6" s="49">
        <v>16256472</v>
      </c>
      <c r="D6" s="49">
        <v>20340462</v>
      </c>
      <c r="E6" s="49">
        <v>21474070</v>
      </c>
    </row>
    <row r="7" spans="1:5" x14ac:dyDescent="0.3">
      <c r="A7" s="28" t="s">
        <v>30</v>
      </c>
      <c r="B7" t="s">
        <v>28</v>
      </c>
      <c r="C7" s="49">
        <v>2654523</v>
      </c>
      <c r="D7" s="49">
        <v>1617672</v>
      </c>
      <c r="E7" s="49">
        <v>3024516</v>
      </c>
    </row>
    <row r="8" spans="1:5" x14ac:dyDescent="0.3">
      <c r="A8" s="28" t="s">
        <v>31</v>
      </c>
      <c r="B8" t="s">
        <v>28</v>
      </c>
      <c r="C8" s="49">
        <v>1091487</v>
      </c>
      <c r="D8" s="49">
        <v>2203252</v>
      </c>
      <c r="E8" s="49">
        <v>3664927</v>
      </c>
    </row>
    <row r="9" spans="1:5" x14ac:dyDescent="0.3">
      <c r="A9" s="57" t="s">
        <v>32</v>
      </c>
      <c r="B9" t="s">
        <v>28</v>
      </c>
      <c r="E9" s="49"/>
    </row>
    <row r="10" spans="1:5" x14ac:dyDescent="0.3">
      <c r="A10" s="28" t="s">
        <v>33</v>
      </c>
      <c r="B10" t="s">
        <v>28</v>
      </c>
      <c r="C10" s="49">
        <v>40064082</v>
      </c>
      <c r="D10" s="49">
        <v>53428530</v>
      </c>
      <c r="E10" s="49">
        <v>65768669</v>
      </c>
    </row>
    <row r="11" spans="1:5" x14ac:dyDescent="0.3">
      <c r="A11" s="28" t="s">
        <v>34</v>
      </c>
      <c r="B11" t="s">
        <v>28</v>
      </c>
      <c r="C11" s="49">
        <v>764593</v>
      </c>
      <c r="D11" s="49">
        <v>2771060</v>
      </c>
      <c r="E11" s="49">
        <v>3766717</v>
      </c>
    </row>
    <row r="12" spans="1:5" x14ac:dyDescent="0.3">
      <c r="A12" s="28" t="s">
        <v>31</v>
      </c>
      <c r="B12" t="s">
        <v>28</v>
      </c>
      <c r="C12" s="49">
        <v>5957558</v>
      </c>
      <c r="D12" s="49">
        <v>7300877</v>
      </c>
      <c r="E12" s="49">
        <v>6226476</v>
      </c>
    </row>
    <row r="13" spans="1:5" x14ac:dyDescent="0.3">
      <c r="A13" s="57" t="s">
        <v>35</v>
      </c>
      <c r="B13" t="s">
        <v>28</v>
      </c>
      <c r="C13" s="49"/>
      <c r="D13" s="49"/>
      <c r="E13" s="49"/>
    </row>
    <row r="14" spans="1:5" x14ac:dyDescent="0.3">
      <c r="A14" t="s">
        <v>36</v>
      </c>
      <c r="B14" t="s">
        <v>28</v>
      </c>
      <c r="C14" s="49">
        <v>21045882</v>
      </c>
      <c r="D14" s="49">
        <v>26053604</v>
      </c>
      <c r="E14" s="49">
        <v>30471213</v>
      </c>
    </row>
    <row r="15" spans="1:5" x14ac:dyDescent="0.3">
      <c r="A15" s="28" t="s">
        <v>37</v>
      </c>
      <c r="B15" t="s">
        <v>28</v>
      </c>
      <c r="C15" s="49">
        <v>1222032</v>
      </c>
      <c r="D15" s="49">
        <v>1358323</v>
      </c>
      <c r="E15" s="49">
        <v>3475237</v>
      </c>
    </row>
    <row r="16" spans="1:5" x14ac:dyDescent="0.3">
      <c r="A16" s="28" t="s">
        <v>38</v>
      </c>
      <c r="B16" t="s">
        <v>28</v>
      </c>
      <c r="C16" s="49">
        <v>71036</v>
      </c>
      <c r="D16" s="49">
        <v>229809</v>
      </c>
      <c r="E16" s="49">
        <v>214926</v>
      </c>
    </row>
    <row r="17" spans="1:5" x14ac:dyDescent="0.3">
      <c r="A17" s="28" t="s">
        <v>39</v>
      </c>
      <c r="B17" t="s">
        <v>28</v>
      </c>
      <c r="C17" s="54">
        <v>-3792</v>
      </c>
      <c r="D17" s="49">
        <v>4797</v>
      </c>
      <c r="E17" s="49">
        <v>10310</v>
      </c>
    </row>
    <row r="18" spans="1:5" x14ac:dyDescent="0.3">
      <c r="A18" s="28" t="s">
        <v>40</v>
      </c>
      <c r="B18" t="s">
        <v>28</v>
      </c>
      <c r="C18" s="49">
        <v>2692495</v>
      </c>
      <c r="D18" s="49">
        <v>2668655</v>
      </c>
      <c r="E18" s="49">
        <v>3541676</v>
      </c>
    </row>
    <row r="19" spans="1:5" ht="45.45" customHeight="1" x14ac:dyDescent="0.3">
      <c r="A19" s="55" t="s">
        <v>41</v>
      </c>
      <c r="B19" t="s">
        <v>28</v>
      </c>
      <c r="C19" s="56">
        <v>0</v>
      </c>
      <c r="D19" s="56">
        <v>0</v>
      </c>
      <c r="E19" s="56">
        <v>0</v>
      </c>
    </row>
    <row r="20" spans="1:5" x14ac:dyDescent="0.3">
      <c r="A20" s="28" t="s">
        <v>42</v>
      </c>
      <c r="B20" t="s">
        <v>28</v>
      </c>
      <c r="C20" s="49">
        <v>41607</v>
      </c>
      <c r="D20" s="49">
        <v>284331</v>
      </c>
      <c r="E20" s="49">
        <v>70449</v>
      </c>
    </row>
    <row r="21" spans="1:5" x14ac:dyDescent="0.3">
      <c r="A21" s="57" t="s">
        <v>43</v>
      </c>
      <c r="B21" t="s">
        <v>28</v>
      </c>
      <c r="C21" s="49">
        <v>52618191</v>
      </c>
      <c r="D21" s="49">
        <v>59765197</v>
      </c>
      <c r="E21" s="49">
        <v>65888431</v>
      </c>
    </row>
    <row r="22" spans="1:5" x14ac:dyDescent="0.3">
      <c r="A22" s="57" t="s">
        <v>44</v>
      </c>
      <c r="B22" t="s">
        <v>45</v>
      </c>
      <c r="C22" s="49"/>
      <c r="D22" s="49"/>
      <c r="E22" s="49"/>
    </row>
    <row r="23" spans="1:5" x14ac:dyDescent="0.3">
      <c r="A23" t="s">
        <v>46</v>
      </c>
      <c r="B23" t="s">
        <v>45</v>
      </c>
      <c r="C23" s="59">
        <v>1121.8</v>
      </c>
      <c r="D23" s="59">
        <v>1356.52</v>
      </c>
      <c r="E23" s="59">
        <v>3104.93</v>
      </c>
    </row>
    <row r="24" spans="1:5" x14ac:dyDescent="0.3">
      <c r="A24" t="s">
        <v>47</v>
      </c>
      <c r="B24" t="s">
        <v>45</v>
      </c>
      <c r="C24">
        <v>67.5</v>
      </c>
      <c r="D24">
        <v>131.07</v>
      </c>
      <c r="E24" s="60">
        <v>-164.72</v>
      </c>
    </row>
    <row r="25" spans="1:5" x14ac:dyDescent="0.3">
      <c r="A25" t="s">
        <v>48</v>
      </c>
      <c r="B25" t="s">
        <v>45</v>
      </c>
      <c r="C25" s="60">
        <v>-221.72</v>
      </c>
      <c r="D25">
        <v>287.08</v>
      </c>
      <c r="E25">
        <v>11.37</v>
      </c>
    </row>
    <row r="26" spans="1:5" x14ac:dyDescent="0.3">
      <c r="A26" t="s">
        <v>49</v>
      </c>
      <c r="B26" t="s">
        <v>45</v>
      </c>
      <c r="C26">
        <v>54.37</v>
      </c>
      <c r="D26">
        <v>3.8</v>
      </c>
      <c r="E26">
        <v>7.09</v>
      </c>
    </row>
    <row r="27" spans="1:5" x14ac:dyDescent="0.3">
      <c r="A27" t="s">
        <v>50</v>
      </c>
      <c r="B27" t="s">
        <v>45</v>
      </c>
      <c r="C27">
        <v>272.47000000000003</v>
      </c>
      <c r="D27">
        <v>104.93</v>
      </c>
      <c r="E27">
        <v>68.28</v>
      </c>
    </row>
    <row r="28" spans="1:5" x14ac:dyDescent="0.3">
      <c r="A28" t="s">
        <v>51</v>
      </c>
      <c r="B28" t="s">
        <v>45</v>
      </c>
      <c r="C28">
        <v>29.13</v>
      </c>
      <c r="D28">
        <v>-16.11</v>
      </c>
      <c r="E28" s="60">
        <v>-89.55</v>
      </c>
    </row>
    <row r="29" spans="1:5" x14ac:dyDescent="0.3">
      <c r="D29" s="59"/>
    </row>
    <row r="30" spans="1:5" x14ac:dyDescent="0.3">
      <c r="A30" s="50" t="s">
        <v>52</v>
      </c>
      <c r="C30" s="59"/>
      <c r="D30" s="59"/>
      <c r="E30" s="59"/>
    </row>
    <row r="31" spans="1:5" x14ac:dyDescent="0.3">
      <c r="A31" s="50" t="s">
        <v>53</v>
      </c>
      <c r="C31" s="59"/>
      <c r="D31" s="59"/>
      <c r="E31" s="59"/>
    </row>
    <row r="32" spans="1:5" x14ac:dyDescent="0.3">
      <c r="A32" t="s">
        <v>54</v>
      </c>
      <c r="B32" t="s">
        <v>28</v>
      </c>
      <c r="C32" s="49">
        <v>5995681</v>
      </c>
      <c r="D32" s="49">
        <v>6050999</v>
      </c>
      <c r="E32" s="49">
        <v>6078761</v>
      </c>
    </row>
    <row r="33" spans="1:5" x14ac:dyDescent="0.3">
      <c r="A33" t="s">
        <v>55</v>
      </c>
      <c r="B33" t="s">
        <v>28</v>
      </c>
      <c r="C33" s="59">
        <v>0</v>
      </c>
      <c r="D33" s="49">
        <v>1176947</v>
      </c>
      <c r="E33" s="49">
        <v>1698674</v>
      </c>
    </row>
    <row r="34" spans="1:5" x14ac:dyDescent="0.3">
      <c r="A34" t="s">
        <v>56</v>
      </c>
      <c r="B34" t="s">
        <v>28</v>
      </c>
      <c r="C34" s="49">
        <v>129260906</v>
      </c>
      <c r="D34" s="49">
        <v>141146428</v>
      </c>
      <c r="E34" s="49">
        <v>148917819</v>
      </c>
    </row>
    <row r="35" spans="1:5" x14ac:dyDescent="0.3">
      <c r="A35" t="s">
        <v>57</v>
      </c>
      <c r="B35" t="s">
        <v>28</v>
      </c>
      <c r="C35" s="49">
        <v>848747377</v>
      </c>
      <c r="D35" s="49">
        <v>1034704359</v>
      </c>
      <c r="E35" s="49">
        <v>1109329023</v>
      </c>
    </row>
    <row r="36" spans="1:5" x14ac:dyDescent="0.3">
      <c r="A36" t="s">
        <v>58</v>
      </c>
      <c r="B36" t="s">
        <v>28</v>
      </c>
      <c r="C36" s="49">
        <v>133317407</v>
      </c>
      <c r="D36" s="49">
        <v>141852485</v>
      </c>
      <c r="E36" s="49">
        <v>137349800</v>
      </c>
    </row>
    <row r="37" spans="1:5" x14ac:dyDescent="0.3">
      <c r="A37" t="s">
        <v>59</v>
      </c>
      <c r="B37" t="s">
        <v>28</v>
      </c>
      <c r="C37" s="49">
        <v>40735743</v>
      </c>
      <c r="D37" s="49">
        <v>59607979</v>
      </c>
      <c r="E37" s="49">
        <v>64347047</v>
      </c>
    </row>
    <row r="38" spans="1:5" x14ac:dyDescent="0.3">
      <c r="A38" s="50" t="s">
        <v>60</v>
      </c>
      <c r="B38" t="s">
        <v>28</v>
      </c>
    </row>
    <row r="39" spans="1:5" x14ac:dyDescent="0.3">
      <c r="A39" t="s">
        <v>61</v>
      </c>
      <c r="B39" t="s">
        <v>28</v>
      </c>
      <c r="C39" s="49">
        <v>406776</v>
      </c>
      <c r="D39" s="49">
        <v>406776</v>
      </c>
      <c r="E39" s="49">
        <v>406776</v>
      </c>
    </row>
    <row r="40" spans="1:5" x14ac:dyDescent="0.3">
      <c r="A40" t="s">
        <v>62</v>
      </c>
      <c r="B40" t="s">
        <v>28</v>
      </c>
      <c r="C40" s="49">
        <v>62380555</v>
      </c>
      <c r="D40" s="49">
        <v>120708226</v>
      </c>
      <c r="E40" s="49">
        <v>109647567</v>
      </c>
    </row>
    <row r="41" spans="1:5" x14ac:dyDescent="0.3">
      <c r="A41" t="s">
        <v>63</v>
      </c>
      <c r="B41" t="s">
        <v>28</v>
      </c>
      <c r="C41" s="49">
        <v>22891311</v>
      </c>
      <c r="D41" s="49">
        <v>23526020</v>
      </c>
      <c r="E41" s="49">
        <v>16016263</v>
      </c>
    </row>
    <row r="42" spans="1:5" x14ac:dyDescent="0.3">
      <c r="A42" t="s">
        <v>64</v>
      </c>
      <c r="B42" t="s">
        <v>28</v>
      </c>
      <c r="C42" s="49">
        <v>287302615</v>
      </c>
      <c r="D42" s="49">
        <v>294777602</v>
      </c>
      <c r="E42" s="49">
        <v>321030929</v>
      </c>
    </row>
    <row r="43" spans="1:5" x14ac:dyDescent="0.3">
      <c r="A43" t="s">
        <v>65</v>
      </c>
      <c r="B43" t="s">
        <v>28</v>
      </c>
      <c r="C43" s="49">
        <v>701864351</v>
      </c>
      <c r="D43" s="49">
        <v>839869147</v>
      </c>
      <c r="E43" s="49">
        <v>926182672</v>
      </c>
    </row>
    <row r="44" spans="1:5" x14ac:dyDescent="0.3">
      <c r="A44" t="s">
        <v>66</v>
      </c>
      <c r="B44" t="s">
        <v>28</v>
      </c>
      <c r="C44" s="49">
        <v>5984926</v>
      </c>
      <c r="D44" s="49">
        <v>5578953</v>
      </c>
      <c r="E44" s="49">
        <v>6038100</v>
      </c>
    </row>
    <row r="45" spans="1:5" x14ac:dyDescent="0.3">
      <c r="A45" t="s">
        <v>67</v>
      </c>
      <c r="B45" t="s">
        <v>28</v>
      </c>
      <c r="C45" s="49">
        <v>77226580</v>
      </c>
      <c r="D45" s="49">
        <v>99672473</v>
      </c>
      <c r="E45" s="49">
        <v>88398817</v>
      </c>
    </row>
    <row r="47" spans="1:5" x14ac:dyDescent="0.3">
      <c r="A47" t="s">
        <v>68</v>
      </c>
      <c r="B47" t="s">
        <v>28</v>
      </c>
      <c r="C47" s="49">
        <v>701115172</v>
      </c>
      <c r="D47" s="49">
        <v>932260743</v>
      </c>
      <c r="E47" s="49">
        <v>1083937640</v>
      </c>
    </row>
    <row r="48" spans="1:5" x14ac:dyDescent="0.3">
      <c r="A48" t="s">
        <v>69</v>
      </c>
      <c r="B48" t="s">
        <v>28</v>
      </c>
      <c r="C48" s="49">
        <v>33003154</v>
      </c>
      <c r="D48" s="49">
        <v>39870418</v>
      </c>
      <c r="E48" s="49">
        <v>38173058</v>
      </c>
    </row>
    <row r="50" spans="1:5" x14ac:dyDescent="0.3">
      <c r="A50" t="s">
        <v>70</v>
      </c>
      <c r="C50" s="59">
        <v>85137.54</v>
      </c>
      <c r="D50" s="59">
        <v>986297.1</v>
      </c>
      <c r="E50" s="59">
        <v>1048309.82</v>
      </c>
    </row>
    <row r="52" spans="1:5" x14ac:dyDescent="0.3">
      <c r="A52" t="s">
        <v>71</v>
      </c>
      <c r="C52" s="59">
        <v>0</v>
      </c>
      <c r="D52" s="59">
        <v>900348</v>
      </c>
      <c r="E52" s="59">
        <v>909627</v>
      </c>
    </row>
    <row r="54" spans="1:5" x14ac:dyDescent="0.3">
      <c r="A54" s="50" t="s">
        <v>72</v>
      </c>
    </row>
    <row r="55" spans="1:5" x14ac:dyDescent="0.3">
      <c r="A55" s="50" t="s">
        <v>73</v>
      </c>
    </row>
    <row r="56" spans="1:5" x14ac:dyDescent="0.3">
      <c r="A56" t="s">
        <v>74</v>
      </c>
      <c r="B56" t="s">
        <v>28</v>
      </c>
      <c r="C56" s="49">
        <v>3834452</v>
      </c>
      <c r="D56" s="49">
        <v>4224852</v>
      </c>
      <c r="E56" s="49">
        <v>4915800</v>
      </c>
    </row>
    <row r="57" spans="1:5" x14ac:dyDescent="0.3">
      <c r="A57" t="s">
        <v>75</v>
      </c>
      <c r="B57" t="s">
        <v>28</v>
      </c>
      <c r="C57" s="49">
        <v>143993182</v>
      </c>
      <c r="D57" s="49">
        <v>179568701</v>
      </c>
      <c r="E57" s="49">
        <v>174258635</v>
      </c>
    </row>
    <row r="58" spans="1:5" x14ac:dyDescent="0.3">
      <c r="A58" t="s">
        <v>76</v>
      </c>
      <c r="B58" t="s">
        <v>28</v>
      </c>
      <c r="C58" s="49">
        <f>SUM(C56:C57)</f>
        <v>147827634</v>
      </c>
      <c r="D58" s="49">
        <f t="shared" ref="D58:E58" si="0">SUM(D56:D57)</f>
        <v>183793553</v>
      </c>
      <c r="E58" s="49">
        <f t="shared" si="0"/>
        <v>179174435</v>
      </c>
    </row>
    <row r="59" spans="1:5" x14ac:dyDescent="0.3">
      <c r="B59" t="s">
        <v>28</v>
      </c>
    </row>
    <row r="60" spans="1:5" x14ac:dyDescent="0.3">
      <c r="A60" s="50" t="s">
        <v>77</v>
      </c>
      <c r="B60" t="s">
        <v>28</v>
      </c>
      <c r="C60" s="49">
        <v>169219594</v>
      </c>
      <c r="D60" s="49">
        <v>180558195</v>
      </c>
      <c r="E60" s="49">
        <v>199577049</v>
      </c>
    </row>
    <row r="61" spans="1:5" x14ac:dyDescent="0.3">
      <c r="A61" s="50"/>
      <c r="B61" t="s">
        <v>28</v>
      </c>
    </row>
    <row r="62" spans="1:5" x14ac:dyDescent="0.3">
      <c r="A62" s="50" t="s">
        <v>78</v>
      </c>
      <c r="B62" t="s">
        <v>28</v>
      </c>
    </row>
    <row r="63" spans="1:5" x14ac:dyDescent="0.3">
      <c r="A63" t="s">
        <v>74</v>
      </c>
      <c r="B63" t="s">
        <v>28</v>
      </c>
      <c r="C63" s="49">
        <v>100642143</v>
      </c>
      <c r="D63" s="49">
        <v>121023958</v>
      </c>
      <c r="E63" s="49">
        <v>122013049</v>
      </c>
    </row>
    <row r="64" spans="1:5" x14ac:dyDescent="0.3">
      <c r="A64" t="s">
        <v>75</v>
      </c>
      <c r="B64" t="s">
        <v>28</v>
      </c>
      <c r="C64" s="49">
        <v>431058004</v>
      </c>
      <c r="D64" s="49">
        <v>549328653</v>
      </c>
      <c r="E64" s="49">
        <v>608564490</v>
      </c>
    </row>
    <row r="65" spans="1:5" x14ac:dyDescent="0.3">
      <c r="A65" t="s">
        <v>76</v>
      </c>
      <c r="B65" t="s">
        <v>28</v>
      </c>
      <c r="C65" s="49">
        <f>SUM(C63:C64)</f>
        <v>531700147</v>
      </c>
      <c r="D65" s="49">
        <f t="shared" ref="D65:E65" si="1">SUM(D63:D64)</f>
        <v>670352611</v>
      </c>
      <c r="E65" s="49">
        <f t="shared" si="1"/>
        <v>730577539</v>
      </c>
    </row>
    <row r="66" spans="1:5" x14ac:dyDescent="0.3">
      <c r="A66" t="s">
        <v>79</v>
      </c>
      <c r="C66" s="49">
        <f>SUM(C65,C60,C58)</f>
        <v>848747375</v>
      </c>
      <c r="D66" s="49">
        <f t="shared" ref="D66:E66" si="2">SUM(D65,D60,D58)</f>
        <v>1034704359</v>
      </c>
      <c r="E66" s="49">
        <f t="shared" si="2"/>
        <v>1109329023</v>
      </c>
    </row>
    <row r="68" spans="1:5" x14ac:dyDescent="0.3">
      <c r="A68" t="s">
        <v>80</v>
      </c>
      <c r="B68" t="s">
        <v>81</v>
      </c>
      <c r="C68" t="s">
        <v>82</v>
      </c>
      <c r="D68" t="s">
        <v>82</v>
      </c>
      <c r="E68">
        <v>292</v>
      </c>
    </row>
  </sheetData>
  <pageMargins left="0.7" right="0.7" top="0.75" bottom="0.75" header="0.3" footer="0.3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44B4-A6EC-44BC-B3EB-85315EC7769D}">
  <dimension ref="A2:N83"/>
  <sheetViews>
    <sheetView showGridLines="0" topLeftCell="A19" zoomScale="70" zoomScaleNormal="70" workbookViewId="0">
      <selection activeCell="L37" sqref="L37"/>
    </sheetView>
  </sheetViews>
  <sheetFormatPr defaultRowHeight="14.4" x14ac:dyDescent="0.3"/>
  <cols>
    <col min="2" max="2" width="36.6640625" customWidth="1"/>
    <col min="3" max="3" width="10.44140625" customWidth="1"/>
    <col min="4" max="4" width="15.5546875" customWidth="1"/>
    <col min="5" max="6" width="15.33203125" customWidth="1"/>
    <col min="7" max="7" width="16.44140625" bestFit="1" customWidth="1"/>
    <col min="8" max="8" width="14.6640625" customWidth="1"/>
    <col min="9" max="9" width="14.88671875" customWidth="1"/>
    <col min="10" max="11" width="5.6640625" customWidth="1"/>
    <col min="12" max="12" width="21.33203125" customWidth="1"/>
    <col min="13" max="13" width="17.109375" bestFit="1" customWidth="1"/>
    <col min="14" max="14" width="18.6640625" bestFit="1" customWidth="1"/>
  </cols>
  <sheetData>
    <row r="2" spans="2:13" ht="19.2" customHeight="1" thickBot="1" x14ac:dyDescent="0.35"/>
    <row r="3" spans="2:13" ht="15" hidden="1" thickBot="1" x14ac:dyDescent="0.35"/>
    <row r="4" spans="2:13" ht="19.2" thickTop="1" thickBot="1" x14ac:dyDescent="0.4">
      <c r="B4" s="33" t="s">
        <v>83</v>
      </c>
      <c r="C4" s="23"/>
      <c r="D4" s="23"/>
      <c r="E4" s="23"/>
      <c r="F4" s="23"/>
      <c r="G4" s="23"/>
      <c r="H4" s="23"/>
      <c r="L4" t="s">
        <v>84</v>
      </c>
      <c r="M4" t="s">
        <v>85</v>
      </c>
    </row>
    <row r="5" spans="2:13" ht="15" thickBot="1" x14ac:dyDescent="0.35">
      <c r="B5" s="24" t="s">
        <v>86</v>
      </c>
      <c r="C5" s="13" t="s">
        <v>87</v>
      </c>
      <c r="D5" s="14" t="s">
        <v>88</v>
      </c>
      <c r="E5" s="14" t="s">
        <v>23</v>
      </c>
      <c r="F5" s="14" t="s">
        <v>24</v>
      </c>
      <c r="G5" s="22" t="s">
        <v>89</v>
      </c>
      <c r="H5" s="25" t="s">
        <v>90</v>
      </c>
      <c r="I5" s="25" t="s">
        <v>91</v>
      </c>
      <c r="L5" t="s">
        <v>92</v>
      </c>
      <c r="M5" t="s">
        <v>93</v>
      </c>
    </row>
    <row r="6" spans="2:13" x14ac:dyDescent="0.3">
      <c r="B6" s="35" t="s">
        <v>94</v>
      </c>
      <c r="C6" s="2"/>
      <c r="D6" s="52">
        <f>'Raw Data'!C5/Divisor_Cr</f>
        <v>7676.3581999999997</v>
      </c>
      <c r="E6" s="52">
        <f>'Raw Data'!D5/Divisor_Cr</f>
        <v>9977.6574000000001</v>
      </c>
      <c r="F6" s="52">
        <f>'Raw Data'!E5/Divisor_Cr</f>
        <v>11224.759</v>
      </c>
      <c r="G6" s="17">
        <f>((Schedule!G8+Schedule!F8)/2)*Assumptions!D31</f>
        <v>12479.756031628212</v>
      </c>
      <c r="H6" s="17">
        <f>((Schedule!H8+Schedule!G8)/2)*Assumptions!E31</f>
        <v>13809.383639520001</v>
      </c>
      <c r="I6" s="17">
        <f>((Schedule!I8+Schedule!H8)/2)*Assumptions!F31</f>
        <v>15354.929856455077</v>
      </c>
      <c r="L6" t="s">
        <v>95</v>
      </c>
      <c r="M6" s="53">
        <v>10000</v>
      </c>
    </row>
    <row r="7" spans="2:13" x14ac:dyDescent="0.3">
      <c r="B7" s="35" t="s">
        <v>96</v>
      </c>
      <c r="C7" s="2"/>
      <c r="D7" s="52">
        <f>'Raw Data'!C6/Divisor_Cr</f>
        <v>1625.6472000000001</v>
      </c>
      <c r="E7" s="52">
        <f>'Raw Data'!D6/Divisor_Cr</f>
        <v>2034.0462</v>
      </c>
      <c r="F7" s="52">
        <f>'Raw Data'!E6/Divisor_Cr</f>
        <v>2147.4070000000002</v>
      </c>
      <c r="G7" s="17">
        <f>((Schedule!G23+Schedule!F23)/2)*Assumptions!D32</f>
        <v>2317.3193305319496</v>
      </c>
      <c r="H7" s="17">
        <f>((Schedule!H23+Schedule!G23)/2)*Assumptions!E32</f>
        <v>2417.5747757831405</v>
      </c>
      <c r="I7" s="17">
        <f>((Schedule!I23+Schedule!H23)/2)*Assumptions!F32</f>
        <v>2548.7637599396076</v>
      </c>
    </row>
    <row r="8" spans="2:13" x14ac:dyDescent="0.3">
      <c r="B8" s="35" t="s">
        <v>34</v>
      </c>
      <c r="C8" s="2"/>
      <c r="D8" s="52">
        <f>'Raw Data'!C7/Divisor_Cr</f>
        <v>265.45229999999998</v>
      </c>
      <c r="E8" s="52">
        <f>'Raw Data'!D7/Divisor_Cr</f>
        <v>161.7672</v>
      </c>
      <c r="F8" s="52">
        <f>'Raw Data'!E7/Divisor_Cr</f>
        <v>302.45159999999998</v>
      </c>
      <c r="G8" s="17">
        <f>((Schedule!G31+Schedule!F31)/2)*Assumptions!D33</f>
        <v>110.2882645584</v>
      </c>
      <c r="H8" s="17">
        <f>((Schedule!H31+Schedule!G31)/2)*Assumptions!E33</f>
        <v>132.57008293939202</v>
      </c>
      <c r="I8" s="17">
        <f>((Schedule!I31+Schedule!H31)/2)*Assumptions!F33</f>
        <v>149.80419372151295</v>
      </c>
    </row>
    <row r="9" spans="2:13" x14ac:dyDescent="0.3">
      <c r="B9" s="35" t="s">
        <v>31</v>
      </c>
      <c r="C9" s="2"/>
      <c r="D9" s="52">
        <f>'Raw Data'!C8/Divisor_Cr</f>
        <v>109.14870000000001</v>
      </c>
      <c r="E9" s="52">
        <f>'Raw Data'!D8/Divisor_Cr</f>
        <v>220.3252</v>
      </c>
      <c r="F9" s="52">
        <f>'Raw Data'!E8/Divisor_Cr</f>
        <v>366.49270000000001</v>
      </c>
      <c r="G9" s="17">
        <f>F9*(1+Assumptions!$D$28)</f>
        <v>381.15240800000004</v>
      </c>
      <c r="H9" s="17">
        <f>G9*(1+Assumptions!$D$28)</f>
        <v>396.39850432000003</v>
      </c>
      <c r="I9" s="17">
        <f>H9*(1+Assumptions!$D$28)</f>
        <v>412.25444449280002</v>
      </c>
    </row>
    <row r="10" spans="2:13" x14ac:dyDescent="0.3">
      <c r="B10" s="26" t="s">
        <v>97</v>
      </c>
      <c r="C10" s="20"/>
      <c r="D10" s="8">
        <f>SUM(D6:D9)</f>
        <v>9676.6064000000006</v>
      </c>
      <c r="E10" s="8">
        <f>SUM(E6:E9)</f>
        <v>12393.796</v>
      </c>
      <c r="F10" s="8">
        <f t="shared" ref="F10" si="0">SUM(F6:F9)</f>
        <v>14041.110300000002</v>
      </c>
      <c r="G10" s="21">
        <f>SUM(G6:G9)</f>
        <v>15288.516034718561</v>
      </c>
      <c r="H10" s="21">
        <f t="shared" ref="H10:I10" si="1">SUM(H6:H9)</f>
        <v>16755.927002562534</v>
      </c>
      <c r="I10" s="21">
        <f t="shared" si="1"/>
        <v>18465.752254608997</v>
      </c>
    </row>
    <row r="11" spans="2:13" x14ac:dyDescent="0.3">
      <c r="B11" s="35" t="s">
        <v>33</v>
      </c>
      <c r="C11" s="7"/>
      <c r="D11" s="52">
        <f>'Raw Data'!C10/Divisor_Cr</f>
        <v>4006.4081999999999</v>
      </c>
      <c r="E11" s="52">
        <f>'Raw Data'!D10/Divisor_Cr</f>
        <v>5342.8530000000001</v>
      </c>
      <c r="F11" s="52">
        <f>'Raw Data'!E10/Divisor_Cr</f>
        <v>6576.8669</v>
      </c>
      <c r="G11" s="17">
        <f>((Schedule!G14+Schedule!F14)/2)*(Financials!F11/((Schedule!F14+Schedule!E14)/2))</f>
        <v>7180.0974840137369</v>
      </c>
      <c r="H11" s="17">
        <f>((Schedule!H14+Schedule!G14)/2)*(Financials!G11/((Schedule!G14+Schedule!F14)/2))</f>
        <v>8007.6802840668852</v>
      </c>
      <c r="I11" s="17">
        <f>((Schedule!I14+Schedule!H14)/2)*(Financials!H11/((Schedule!H14+Schedule!G14)/2))</f>
        <v>8968.6019181549145</v>
      </c>
      <c r="J11" s="52"/>
      <c r="L11" s="49"/>
    </row>
    <row r="12" spans="2:13" x14ac:dyDescent="0.3">
      <c r="B12" s="35" t="s">
        <v>34</v>
      </c>
      <c r="C12" s="7"/>
      <c r="D12" s="52">
        <f>'Raw Data'!C11/Divisor_Cr</f>
        <v>76.459299999999999</v>
      </c>
      <c r="E12" s="52">
        <f>'Raw Data'!D11/Divisor_Cr</f>
        <v>277.10599999999999</v>
      </c>
      <c r="F12" s="52">
        <f>'Raw Data'!E11/Divisor_Cr</f>
        <v>376.67169999999999</v>
      </c>
      <c r="G12" s="112">
        <f>Assumptions!D33*((Schedule!G31+Schedule!F31)/2)</f>
        <v>110.2882645584</v>
      </c>
      <c r="H12" s="112">
        <f>Assumptions!E33*((Schedule!H31+Schedule!G31)/2)</f>
        <v>132.57008293939202</v>
      </c>
      <c r="I12" s="112">
        <f>Assumptions!F33*((Schedule!I31+Schedule!H31)/2)</f>
        <v>149.80419372151295</v>
      </c>
    </row>
    <row r="13" spans="2:13" x14ac:dyDescent="0.3">
      <c r="B13" s="35" t="s">
        <v>31</v>
      </c>
      <c r="C13" s="7"/>
      <c r="D13" s="52">
        <f>'Raw Data'!C12/Divisor_Cr</f>
        <v>595.75580000000002</v>
      </c>
      <c r="E13" s="52">
        <f>'Raw Data'!D12/Divisor_Cr</f>
        <v>730.08770000000004</v>
      </c>
      <c r="F13" s="52">
        <f>'Raw Data'!E12/Divisor_Cr</f>
        <v>622.64760000000001</v>
      </c>
      <c r="G13" s="17">
        <f>F13*(1+Assumptions!$D$28)</f>
        <v>647.55350400000009</v>
      </c>
      <c r="H13" s="17">
        <f>G13*(1+Assumptions!$D$28)</f>
        <v>673.45564416000013</v>
      </c>
      <c r="I13" s="17">
        <f>H13*(1+Assumptions!$D$28)</f>
        <v>700.39386992640016</v>
      </c>
    </row>
    <row r="14" spans="2:13" ht="15.45" customHeight="1" thickBot="1" x14ac:dyDescent="0.35">
      <c r="B14" s="27" t="s">
        <v>98</v>
      </c>
      <c r="C14" s="19"/>
      <c r="D14" s="10">
        <f>SUM(D11+D12+D13)</f>
        <v>4678.6233000000002</v>
      </c>
      <c r="E14" s="10">
        <f>SUM(E11+E12+E13)</f>
        <v>6350.0466999999999</v>
      </c>
      <c r="F14" s="10">
        <f>SUM(F11+F12+F13)</f>
        <v>7576.1862000000001</v>
      </c>
      <c r="G14" s="16">
        <f>SUM(G11:G13)</f>
        <v>7937.9392525721378</v>
      </c>
      <c r="H14" s="16">
        <f t="shared" ref="H14:I14" si="2">SUM(H11:H13)</f>
        <v>8813.7060111662777</v>
      </c>
      <c r="I14" s="16">
        <f t="shared" si="2"/>
        <v>9818.7999818028275</v>
      </c>
    </row>
    <row r="15" spans="2:13" ht="15" thickBot="1" x14ac:dyDescent="0.35">
      <c r="B15" s="24" t="s">
        <v>99</v>
      </c>
      <c r="C15" s="13"/>
      <c r="D15" s="45">
        <f>D10-D14</f>
        <v>4997.9831000000004</v>
      </c>
      <c r="E15" s="45">
        <f t="shared" ref="E15:F15" si="3">E10-E14</f>
        <v>6043.7493000000004</v>
      </c>
      <c r="F15" s="45">
        <f t="shared" si="3"/>
        <v>6464.924100000002</v>
      </c>
      <c r="G15" s="15">
        <f>G10-G14</f>
        <v>7350.5767821464233</v>
      </c>
      <c r="H15" s="15">
        <f t="shared" ref="H15:I15" si="4">H10-H14</f>
        <v>7942.2209913962561</v>
      </c>
      <c r="I15" s="15">
        <f t="shared" si="4"/>
        <v>8646.9522728061693</v>
      </c>
    </row>
    <row r="16" spans="2:13" x14ac:dyDescent="0.3">
      <c r="C16" s="2"/>
      <c r="D16" s="46"/>
      <c r="E16" s="11"/>
      <c r="F16" s="11"/>
      <c r="G16" s="114"/>
      <c r="H16" s="114"/>
    </row>
    <row r="17" spans="2:10" x14ac:dyDescent="0.3">
      <c r="B17" t="s">
        <v>36</v>
      </c>
      <c r="C17" s="2"/>
      <c r="D17" s="58">
        <f>'Raw Data'!C14/Divisor_Cr</f>
        <v>2104.5882000000001</v>
      </c>
      <c r="E17" s="58">
        <f>'Raw Data'!D14/Divisor_Cr</f>
        <v>2605.3604</v>
      </c>
      <c r="F17" s="58">
        <f>'Raw Data'!E14/Divisor_Cr</f>
        <v>3047.1212999999998</v>
      </c>
      <c r="G17" s="17">
        <f>F17*(1+Assumptions!$D$28)</f>
        <v>3169.0061519999999</v>
      </c>
      <c r="H17" s="17">
        <f>G17*(1+Assumptions!$D$28)</f>
        <v>3295.7663980799998</v>
      </c>
      <c r="I17" s="17">
        <f>H17*(1+Assumptions!$D$28)</f>
        <v>3427.5970540031999</v>
      </c>
    </row>
    <row r="18" spans="2:10" x14ac:dyDescent="0.3">
      <c r="B18" s="28" t="s">
        <v>37</v>
      </c>
      <c r="C18" s="2"/>
      <c r="D18" s="58">
        <f>'Raw Data'!C15/Divisor_Cr</f>
        <v>122.2032</v>
      </c>
      <c r="E18" s="58">
        <f>'Raw Data'!D15/Divisor_Cr</f>
        <v>135.8323</v>
      </c>
      <c r="F18" s="58">
        <f>'Raw Data'!E15/Divisor_Cr</f>
        <v>347.52370000000002</v>
      </c>
      <c r="G18" s="17">
        <f>(F18+E18+D18)/3</f>
        <v>201.85306666666668</v>
      </c>
      <c r="H18" s="17">
        <f>(F18+E18+D18)/3</f>
        <v>201.85306666666668</v>
      </c>
      <c r="I18" s="17">
        <f>(F18+E18+D18)/3</f>
        <v>201.85306666666668</v>
      </c>
    </row>
    <row r="19" spans="2:10" x14ac:dyDescent="0.3">
      <c r="B19" s="28" t="s">
        <v>38</v>
      </c>
      <c r="C19" s="2"/>
      <c r="D19" s="58">
        <f>'Raw Data'!C16/Divisor_Cr</f>
        <v>7.1036000000000001</v>
      </c>
      <c r="E19" s="58">
        <f>'Raw Data'!D16/Divisor_Cr</f>
        <v>22.980899999999998</v>
      </c>
      <c r="F19" s="58">
        <f>'Raw Data'!E16/Divisor_Cr</f>
        <v>21.492599999999999</v>
      </c>
      <c r="G19" s="113">
        <f>0</f>
        <v>0</v>
      </c>
      <c r="H19" s="113">
        <f>0</f>
        <v>0</v>
      </c>
      <c r="I19" s="80">
        <f>0</f>
        <v>0</v>
      </c>
    </row>
    <row r="20" spans="2:10" x14ac:dyDescent="0.3">
      <c r="B20" s="28" t="s">
        <v>39</v>
      </c>
      <c r="C20" s="2"/>
      <c r="D20" s="58">
        <f>'Raw Data'!C17/Divisor_Cr</f>
        <v>-0.37919999999999998</v>
      </c>
      <c r="E20" s="58">
        <f>'Raw Data'!D17/Divisor_Cr</f>
        <v>0.47970000000000002</v>
      </c>
      <c r="F20" s="58">
        <f>'Raw Data'!E17/Divisor_Cr</f>
        <v>1.0309999999999999</v>
      </c>
      <c r="G20" s="113">
        <f>0</f>
        <v>0</v>
      </c>
      <c r="H20" s="113">
        <f>0</f>
        <v>0</v>
      </c>
      <c r="I20" s="80">
        <f>0</f>
        <v>0</v>
      </c>
    </row>
    <row r="21" spans="2:10" x14ac:dyDescent="0.3">
      <c r="B21" s="28" t="s">
        <v>40</v>
      </c>
      <c r="C21" s="2"/>
      <c r="D21" s="58">
        <f>'Raw Data'!C18/Divisor_Cr</f>
        <v>269.24950000000001</v>
      </c>
      <c r="E21" s="58">
        <f>'Raw Data'!D18/Divisor_Cr</f>
        <v>266.8655</v>
      </c>
      <c r="F21" s="58">
        <f>'Raw Data'!E18/Divisor_Cr</f>
        <v>354.16759999999999</v>
      </c>
      <c r="G21" s="113">
        <f>($F$21/$F$10)*G10</f>
        <v>385.63168552117907</v>
      </c>
      <c r="H21" s="113">
        <f t="shared" ref="H21:I21" si="5">($F$21/$F$10)*H10</f>
        <v>422.64509896149491</v>
      </c>
      <c r="I21" s="17">
        <f t="shared" si="5"/>
        <v>465.77307766106333</v>
      </c>
    </row>
    <row r="22" spans="2:10" ht="43.2" x14ac:dyDescent="0.3">
      <c r="B22" s="55" t="s">
        <v>100</v>
      </c>
      <c r="D22" s="58">
        <f>'Raw Data'!C19/Divisor_Cr</f>
        <v>0</v>
      </c>
      <c r="E22" s="58">
        <f>'Raw Data'!D19/Divisor_Cr</f>
        <v>0</v>
      </c>
      <c r="F22" s="58">
        <f>'Raw Data'!E19/Divisor_Cr</f>
        <v>0</v>
      </c>
      <c r="G22" s="113">
        <f>0</f>
        <v>0</v>
      </c>
      <c r="H22" s="113">
        <f>0</f>
        <v>0</v>
      </c>
      <c r="I22" s="80">
        <f>0</f>
        <v>0</v>
      </c>
    </row>
    <row r="23" spans="2:10" x14ac:dyDescent="0.3">
      <c r="B23" s="28" t="s">
        <v>42</v>
      </c>
      <c r="C23" s="7"/>
      <c r="D23" s="58">
        <f>'Raw Data'!C20/Divisor_Cr</f>
        <v>4.1607000000000003</v>
      </c>
      <c r="E23" s="58">
        <f>'Raw Data'!D20/Divisor_Cr</f>
        <v>28.4331</v>
      </c>
      <c r="F23" s="58">
        <f>'Raw Data'!E20/Divisor_Cr</f>
        <v>7.0449000000000002</v>
      </c>
      <c r="G23" s="17">
        <f>F23*(1+Assumptions!$D$28)</f>
        <v>7.3266960000000001</v>
      </c>
      <c r="H23" s="17">
        <f>G23*(1+Assumptions!$D$28)</f>
        <v>7.6197638400000001</v>
      </c>
      <c r="I23" s="17">
        <f>H23*(1+Assumptions!$D$28)</f>
        <v>7.9245543936000002</v>
      </c>
    </row>
    <row r="24" spans="2:10" ht="15" thickBot="1" x14ac:dyDescent="0.35">
      <c r="B24" s="29" t="s">
        <v>101</v>
      </c>
      <c r="C24" s="19"/>
      <c r="D24" s="47">
        <f>SUM(D17:D23)</f>
        <v>2506.9259999999999</v>
      </c>
      <c r="E24" s="10">
        <f>SUM(E17:E23)</f>
        <v>3059.9519</v>
      </c>
      <c r="F24" s="10">
        <f>SUM(F17:F23)</f>
        <v>3778.3810999999996</v>
      </c>
      <c r="G24" s="16">
        <f>SUM(G17:G23)</f>
        <v>3763.8176001878455</v>
      </c>
      <c r="H24" s="16">
        <f t="shared" ref="H24:I24" si="6">SUM(H17:H23)</f>
        <v>3927.8843275481613</v>
      </c>
      <c r="I24" s="16">
        <f t="shared" si="6"/>
        <v>4103.1477527245297</v>
      </c>
      <c r="J24" s="48"/>
    </row>
    <row r="25" spans="2:10" ht="15" thickBot="1" x14ac:dyDescent="0.35">
      <c r="B25" s="30" t="s">
        <v>102</v>
      </c>
      <c r="C25" s="13"/>
      <c r="D25" s="45">
        <f>D15+D24</f>
        <v>7504.9091000000008</v>
      </c>
      <c r="E25" s="45">
        <f>E15+E24</f>
        <v>9103.7011999999995</v>
      </c>
      <c r="F25" s="45">
        <f>F15+F24</f>
        <v>10243.305200000003</v>
      </c>
      <c r="G25" s="15">
        <f>G24+G15</f>
        <v>11114.394382334269</v>
      </c>
      <c r="H25" s="15">
        <f t="shared" ref="H25:I25" si="7">H24+H15</f>
        <v>11870.105318944417</v>
      </c>
      <c r="I25" s="15">
        <f t="shared" si="7"/>
        <v>12750.100025530699</v>
      </c>
    </row>
    <row r="26" spans="2:10" x14ac:dyDescent="0.3">
      <c r="B26" s="28"/>
      <c r="C26" s="2"/>
      <c r="D26" s="46"/>
      <c r="E26" s="11"/>
      <c r="F26" s="11"/>
      <c r="G26" s="114"/>
      <c r="H26" s="120"/>
    </row>
    <row r="27" spans="2:10" x14ac:dyDescent="0.3">
      <c r="B27" s="28" t="s">
        <v>103</v>
      </c>
      <c r="C27" s="7"/>
      <c r="D27" s="58">
        <f>-'Raw Data'!C21/Divisor_Cr</f>
        <v>-5261.8190999999997</v>
      </c>
      <c r="E27" s="58">
        <f>-'Raw Data'!D21/Divisor_Cr</f>
        <v>-5976.5196999999998</v>
      </c>
      <c r="F27" s="58">
        <f>-'Raw Data'!E21/Divisor_Cr</f>
        <v>-6588.8431</v>
      </c>
      <c r="G27" s="17">
        <f>-1*(Assumptions!D13*Financials!G25)</f>
        <v>-6890.9245170472468</v>
      </c>
      <c r="H27" s="17">
        <f>-1*(Assumptions!E13*Financials!H25)</f>
        <v>-7122.0631913666502</v>
      </c>
      <c r="I27" s="17">
        <f>-1*(Assumptions!F13*Financials!I25)</f>
        <v>-7395.0580148078052</v>
      </c>
    </row>
    <row r="28" spans="2:10" x14ac:dyDescent="0.3">
      <c r="B28" s="31" t="s">
        <v>104</v>
      </c>
      <c r="C28" s="5"/>
      <c r="D28" s="8">
        <f>D25+D27</f>
        <v>2243.0900000000011</v>
      </c>
      <c r="E28" s="8">
        <f>E25+E27</f>
        <v>3127.1814999999997</v>
      </c>
      <c r="F28" s="8">
        <f>F25+F27</f>
        <v>3654.4621000000025</v>
      </c>
      <c r="G28" s="21">
        <f>SUM(G27+G25)</f>
        <v>4223.469865287022</v>
      </c>
      <c r="H28" s="21">
        <f t="shared" ref="H28:I28" si="8">SUM(H27+H25)</f>
        <v>4748.0421275777671</v>
      </c>
      <c r="I28" s="21">
        <f t="shared" si="8"/>
        <v>5355.0420107228938</v>
      </c>
      <c r="J28" s="9"/>
    </row>
    <row r="29" spans="2:10" x14ac:dyDescent="0.3">
      <c r="B29" s="35" t="s">
        <v>105</v>
      </c>
      <c r="C29" s="7"/>
      <c r="D29" s="52">
        <f>-SUM('Raw Data'!C23:C26)</f>
        <v>-1021.9499999999999</v>
      </c>
      <c r="E29" s="52">
        <f>-SUM('Raw Data'!D23:D26)</f>
        <v>-1778.4699999999998</v>
      </c>
      <c r="F29" s="52">
        <f>-SUM('Raw Data'!E23:E26)</f>
        <v>-2958.67</v>
      </c>
      <c r="G29" s="17">
        <f>-1*(Assumptions!D14*Schedule!G8)</f>
        <v>-1867.1842667520002</v>
      </c>
      <c r="H29" s="17">
        <f>-1*(Assumptions!E14*Schedule!H8)</f>
        <v>-1758.2651845247999</v>
      </c>
      <c r="I29" s="17">
        <f>-1*(Assumptions!F14*Schedule!I8)</f>
        <v>-1721.9277040446207</v>
      </c>
    </row>
    <row r="30" spans="2:10" x14ac:dyDescent="0.3">
      <c r="B30" s="31" t="s">
        <v>106</v>
      </c>
      <c r="C30" s="5"/>
      <c r="D30" s="8">
        <f>D28+D29</f>
        <v>1221.1400000000012</v>
      </c>
      <c r="E30" s="8">
        <f>E28+E29</f>
        <v>1348.7114999999999</v>
      </c>
      <c r="F30" s="8">
        <f>F28+F29</f>
        <v>695.79210000000239</v>
      </c>
      <c r="G30" s="21">
        <f>G28+G29</f>
        <v>2356.2855985350216</v>
      </c>
      <c r="H30" s="21">
        <f t="shared" ref="H30:I30" si="9">H28+H29</f>
        <v>2989.776943052967</v>
      </c>
      <c r="I30" s="21">
        <f t="shared" si="9"/>
        <v>3633.1143066782734</v>
      </c>
    </row>
    <row r="31" spans="2:10" ht="15" thickBot="1" x14ac:dyDescent="0.35">
      <c r="B31" s="35" t="s">
        <v>107</v>
      </c>
      <c r="C31" s="2"/>
      <c r="D31" s="52">
        <f>-SUM('Raw Data'!C27:C28)</f>
        <v>-301.60000000000002</v>
      </c>
      <c r="E31" s="52">
        <f>-SUM('Raw Data'!D27:D28)</f>
        <v>-88.820000000000007</v>
      </c>
      <c r="F31" s="115">
        <f>-1*SUM('Raw Data'!E27:E28)</f>
        <v>21.269999999999996</v>
      </c>
      <c r="G31" s="17">
        <f>-1*(G30*Assumptions!D18)</f>
        <v>-589.07139963375539</v>
      </c>
      <c r="H31" s="17">
        <f>-1*(H30*Assumptions!E18)</f>
        <v>-747.44423576324175</v>
      </c>
      <c r="I31" s="17">
        <f>-1*(I30*Assumptions!F18)</f>
        <v>-908.27857666956834</v>
      </c>
    </row>
    <row r="32" spans="2:10" ht="15" thickBot="1" x14ac:dyDescent="0.35">
      <c r="B32" s="30" t="s">
        <v>108</v>
      </c>
      <c r="C32" s="13"/>
      <c r="D32" s="14">
        <f>SUM(D30,D31)</f>
        <v>919.54000000000121</v>
      </c>
      <c r="E32" s="14">
        <f>SUM(E30,E31)</f>
        <v>1259.8915</v>
      </c>
      <c r="F32" s="14">
        <f>SUM(F30,F31)</f>
        <v>717.06210000000237</v>
      </c>
      <c r="G32" s="15">
        <f>SUM(G31,G30)</f>
        <v>1767.2141989012662</v>
      </c>
      <c r="H32" s="15">
        <f t="shared" ref="H32:I32" si="10">SUM(H31,H30)</f>
        <v>2242.3327072897255</v>
      </c>
      <c r="I32" s="15">
        <f t="shared" si="10"/>
        <v>2724.835730008705</v>
      </c>
    </row>
    <row r="33" spans="1:9" x14ac:dyDescent="0.3">
      <c r="B33" s="28"/>
      <c r="C33" s="2"/>
      <c r="D33" s="11"/>
      <c r="E33" s="11"/>
      <c r="F33" s="11"/>
      <c r="G33" s="114"/>
      <c r="H33" s="114"/>
      <c r="I33" s="117"/>
    </row>
    <row r="34" spans="1:9" x14ac:dyDescent="0.3">
      <c r="B34" s="28" t="s">
        <v>109</v>
      </c>
      <c r="C34" s="2"/>
      <c r="D34" s="9">
        <v>601995371</v>
      </c>
      <c r="E34" s="9">
        <v>613444193</v>
      </c>
      <c r="F34" s="9">
        <v>609736584</v>
      </c>
      <c r="G34" s="118">
        <f>F34</f>
        <v>609736584</v>
      </c>
      <c r="H34" s="118">
        <f>F34</f>
        <v>609736584</v>
      </c>
      <c r="I34" s="116">
        <f>F34</f>
        <v>609736584</v>
      </c>
    </row>
    <row r="35" spans="1:9" x14ac:dyDescent="0.3">
      <c r="B35" s="29" t="s">
        <v>110</v>
      </c>
      <c r="C35" s="6"/>
      <c r="D35" s="10">
        <f>(D32*10000000)/D34</f>
        <v>15.274868284659968</v>
      </c>
      <c r="E35" s="10">
        <f>(E32*10000000)/E34</f>
        <v>20.537997007333313</v>
      </c>
      <c r="F35" s="10">
        <f>(F32*10000000)/F34</f>
        <v>11.760194792576238</v>
      </c>
      <c r="G35" s="119">
        <f t="shared" ref="G35:I35" si="11">(G32*10000000)/G34</f>
        <v>28.983240390595721</v>
      </c>
      <c r="H35" s="119">
        <f t="shared" si="11"/>
        <v>36.775433295793931</v>
      </c>
      <c r="I35" s="10">
        <f t="shared" si="11"/>
        <v>44.688736111801113</v>
      </c>
    </row>
    <row r="36" spans="1:9" ht="15" thickBot="1" x14ac:dyDescent="0.35">
      <c r="C36" s="2"/>
      <c r="D36" s="11"/>
      <c r="E36" s="11"/>
      <c r="F36" s="11"/>
      <c r="G36" s="17"/>
      <c r="H36" s="11"/>
    </row>
    <row r="37" spans="1:9" ht="18.600000000000001" thickBot="1" x14ac:dyDescent="0.4">
      <c r="B37" s="34" t="s">
        <v>111</v>
      </c>
      <c r="C37" s="2"/>
      <c r="D37" s="11"/>
      <c r="E37" s="11"/>
      <c r="F37" s="11"/>
      <c r="G37" s="17"/>
      <c r="H37" s="11"/>
    </row>
    <row r="38" spans="1:9" ht="15" thickBot="1" x14ac:dyDescent="0.35">
      <c r="B38" s="24" t="s">
        <v>86</v>
      </c>
      <c r="C38" s="13" t="s">
        <v>87</v>
      </c>
      <c r="D38" s="14" t="s">
        <v>88</v>
      </c>
      <c r="E38" s="14" t="s">
        <v>23</v>
      </c>
      <c r="F38" s="14" t="s">
        <v>24</v>
      </c>
      <c r="G38" s="22" t="s">
        <v>89</v>
      </c>
      <c r="H38" s="25" t="s">
        <v>90</v>
      </c>
      <c r="I38" s="25" t="s">
        <v>91</v>
      </c>
    </row>
    <row r="39" spans="1:9" x14ac:dyDescent="0.3">
      <c r="A39" s="50"/>
      <c r="B39" s="50" t="s">
        <v>112</v>
      </c>
      <c r="C39" s="2"/>
      <c r="D39" s="11"/>
      <c r="E39" s="11"/>
      <c r="F39" s="11"/>
      <c r="G39" s="114"/>
      <c r="H39" s="114"/>
    </row>
    <row r="40" spans="1:9" x14ac:dyDescent="0.3">
      <c r="B40" s="35" t="s">
        <v>113</v>
      </c>
      <c r="C40" s="7"/>
      <c r="D40" s="52">
        <f>'Raw Data'!C32/Divisor_Cr</f>
        <v>599.56809999999996</v>
      </c>
      <c r="E40" s="52">
        <f>'Raw Data'!D32/Divisor_Cr</f>
        <v>605.09990000000005</v>
      </c>
      <c r="F40" s="52">
        <f>'Raw Data'!E32/Divisor_Cr</f>
        <v>607.87609999999995</v>
      </c>
      <c r="G40" s="113">
        <f>F40</f>
        <v>607.87609999999995</v>
      </c>
      <c r="H40" s="113">
        <f>F40</f>
        <v>607.87609999999995</v>
      </c>
      <c r="I40" s="11">
        <f>F40</f>
        <v>607.87609999999995</v>
      </c>
    </row>
    <row r="41" spans="1:9" x14ac:dyDescent="0.3">
      <c r="B41" s="35" t="s">
        <v>114</v>
      </c>
      <c r="C41" s="7"/>
      <c r="D41" s="52">
        <f>'Raw Data'!C33/Divisor_Cr</f>
        <v>0</v>
      </c>
      <c r="E41" s="52">
        <f>'Raw Data'!D33/Divisor_Cr</f>
        <v>117.6947</v>
      </c>
      <c r="F41" s="52">
        <f>'Raw Data'!E33/Divisor_Cr</f>
        <v>169.8674</v>
      </c>
      <c r="G41" s="113">
        <f>F41</f>
        <v>169.8674</v>
      </c>
      <c r="H41" s="113">
        <f>F41</f>
        <v>169.8674</v>
      </c>
      <c r="I41" s="48">
        <f>F41</f>
        <v>169.8674</v>
      </c>
    </row>
    <row r="42" spans="1:9" x14ac:dyDescent="0.3">
      <c r="B42" s="35" t="s">
        <v>56</v>
      </c>
      <c r="C42" s="7"/>
      <c r="D42" s="52">
        <f>'Raw Data'!C34/Divisor_Cr</f>
        <v>12926.0906</v>
      </c>
      <c r="E42" s="52">
        <f>'Raw Data'!D34/Divisor_Cr</f>
        <v>14114.6428</v>
      </c>
      <c r="F42" s="52">
        <f>'Raw Data'!E34/Divisor_Cr</f>
        <v>14891.7819</v>
      </c>
      <c r="G42" s="113">
        <f>F42+G32+Schedule!G83</f>
        <v>16437.520869937372</v>
      </c>
      <c r="H42" s="113">
        <f>G42+H32+Schedule!H83</f>
        <v>18305.042245512595</v>
      </c>
      <c r="I42" s="17">
        <f>H42+I32+Schedule!I83</f>
        <v>20464.665369857918</v>
      </c>
    </row>
    <row r="43" spans="1:9" x14ac:dyDescent="0.3">
      <c r="B43" s="62" t="s">
        <v>115</v>
      </c>
      <c r="C43" s="5"/>
      <c r="D43" s="8">
        <f>SUM(D40:D42)</f>
        <v>13525.6587</v>
      </c>
      <c r="E43" s="8">
        <f t="shared" ref="E43:F43" si="12">SUM(E40:E42)</f>
        <v>14837.437399999999</v>
      </c>
      <c r="F43" s="8">
        <f t="shared" si="12"/>
        <v>15669.5254</v>
      </c>
      <c r="G43" s="121">
        <f>SUM(G40:G42)</f>
        <v>17215.264369937373</v>
      </c>
      <c r="H43" s="121">
        <f t="shared" ref="H43:I43" si="13">SUM(H40:H42)</f>
        <v>19082.785745512596</v>
      </c>
      <c r="I43" s="21">
        <f t="shared" si="13"/>
        <v>21242.408869857918</v>
      </c>
    </row>
    <row r="44" spans="1:9" x14ac:dyDescent="0.3">
      <c r="B44" s="57"/>
      <c r="C44" s="2"/>
      <c r="D44" s="11"/>
      <c r="E44" s="11"/>
      <c r="F44" s="11"/>
      <c r="G44" s="113"/>
      <c r="H44" s="113"/>
    </row>
    <row r="45" spans="1:9" x14ac:dyDescent="0.3">
      <c r="B45" s="57" t="s">
        <v>116</v>
      </c>
      <c r="C45" s="2"/>
      <c r="D45" s="11"/>
      <c r="E45" s="11"/>
      <c r="F45" s="11"/>
      <c r="G45" s="113"/>
      <c r="H45" s="113"/>
    </row>
    <row r="46" spans="1:9" x14ac:dyDescent="0.3">
      <c r="B46" s="35" t="s">
        <v>57</v>
      </c>
      <c r="C46" s="2"/>
      <c r="D46" s="52">
        <f>'Raw Data'!C35/Divisor_Cr</f>
        <v>84874.737699999998</v>
      </c>
      <c r="E46" s="52">
        <f>'Raw Data'!D35/Divisor_Cr</f>
        <v>103470.4359</v>
      </c>
      <c r="F46" s="52">
        <f>'Raw Data'!E35/Divisor_Cr</f>
        <v>110932.9023</v>
      </c>
      <c r="G46" s="113">
        <f>Schedule!G14</f>
        <v>123135.52155300001</v>
      </c>
      <c r="H46" s="113">
        <f>Schedule!H14</f>
        <v>137911.78413936004</v>
      </c>
      <c r="I46" s="17">
        <f>Schedule!I14</f>
        <v>154461.19823608326</v>
      </c>
    </row>
    <row r="47" spans="1:9" x14ac:dyDescent="0.3">
      <c r="B47" s="35" t="s">
        <v>58</v>
      </c>
      <c r="C47" s="2"/>
      <c r="D47" s="52">
        <f>'Raw Data'!C36/Divisor_Cr</f>
        <v>13331.7407</v>
      </c>
      <c r="E47" s="52">
        <f>'Raw Data'!D36/Divisor_Cr</f>
        <v>14185.2485</v>
      </c>
      <c r="F47" s="52">
        <f>'Raw Data'!E36/Divisor_Cr</f>
        <v>13734.98</v>
      </c>
      <c r="G47" s="113">
        <f>G46*(((D47/D46)+(E47/E46)+(F47/F46))/3)</f>
        <v>17156.209091171317</v>
      </c>
      <c r="H47" s="113">
        <f>H46*(((D47/D46)+(E47/E46)+(F47/F46))/3)</f>
        <v>19214.954182111876</v>
      </c>
      <c r="I47" s="59">
        <f>I46*(((D47/D46)+(E47/E46)+(F47/F46))/3)</f>
        <v>21520.748683965303</v>
      </c>
    </row>
    <row r="48" spans="1:9" x14ac:dyDescent="0.3">
      <c r="B48" s="62" t="s">
        <v>117</v>
      </c>
      <c r="C48" s="5"/>
      <c r="D48" s="8">
        <f>SUM(D46:D47)</f>
        <v>98206.478399999993</v>
      </c>
      <c r="E48" s="8">
        <f t="shared" ref="E48:F48" si="14">SUM(E46:E47)</f>
        <v>117655.6844</v>
      </c>
      <c r="F48" s="8">
        <f t="shared" si="14"/>
        <v>124667.8823</v>
      </c>
      <c r="G48" s="121">
        <f>SUM(G47,G46)</f>
        <v>140291.73064417133</v>
      </c>
      <c r="H48" s="121">
        <f t="shared" ref="H48:I48" si="15">SUM(H47,H46)</f>
        <v>157126.7383214719</v>
      </c>
      <c r="I48" s="21">
        <f t="shared" si="15"/>
        <v>175981.94692004856</v>
      </c>
    </row>
    <row r="49" spans="2:9" x14ac:dyDescent="0.3">
      <c r="B49" s="57" t="s">
        <v>118</v>
      </c>
      <c r="C49" s="2"/>
      <c r="D49" s="11"/>
      <c r="E49" s="11"/>
      <c r="F49" s="11"/>
      <c r="G49" s="113"/>
      <c r="H49" s="113"/>
    </row>
    <row r="50" spans="2:9" x14ac:dyDescent="0.3">
      <c r="B50" s="35" t="s">
        <v>59</v>
      </c>
      <c r="C50" s="2"/>
      <c r="D50" s="52">
        <f>'Raw Data'!C37/Divisor_Cr</f>
        <v>4073.5743000000002</v>
      </c>
      <c r="E50" s="52">
        <f>'Raw Data'!D37/Divisor_Cr</f>
        <v>5960.7978999999996</v>
      </c>
      <c r="F50" s="52">
        <f>'Raw Data'!E37/Divisor_Cr</f>
        <v>6434.7047000000002</v>
      </c>
      <c r="G50" s="113">
        <f>(((F50/F48)+(E50/E48)+(D50/D48))/3)*G48</f>
        <v>6722.6643617869831</v>
      </c>
      <c r="H50" s="113">
        <f>(((F50/F48)+(E50/E48)+(D50/D48))/3)*H48</f>
        <v>7529.3840852014209</v>
      </c>
      <c r="I50" s="17">
        <f>(((F50/F48)+(E50/E48)+(D50/D48))/3)*I48</f>
        <v>8432.9101754255935</v>
      </c>
    </row>
    <row r="51" spans="2:9" ht="15" thickBot="1" x14ac:dyDescent="0.35">
      <c r="B51" s="57"/>
      <c r="C51" s="2"/>
      <c r="D51" s="11"/>
      <c r="E51" s="11"/>
      <c r="F51" s="11"/>
      <c r="G51" s="122"/>
      <c r="H51" s="122"/>
    </row>
    <row r="52" spans="2:9" ht="15.6" thickTop="1" thickBot="1" x14ac:dyDescent="0.35">
      <c r="B52" s="61" t="s">
        <v>119</v>
      </c>
      <c r="C52" s="37"/>
      <c r="D52" s="38">
        <f>SUM(D50+D48+D43)</f>
        <v>115805.7114</v>
      </c>
      <c r="E52" s="38">
        <f>SUM(E50+E48+E43)</f>
        <v>138453.9197</v>
      </c>
      <c r="F52" s="38">
        <f>SUM(F50+F48+F43)</f>
        <v>146772.11240000001</v>
      </c>
      <c r="G52" s="39">
        <f>SUM(G50,G48,G43)</f>
        <v>164229.65937589569</v>
      </c>
      <c r="H52" s="39">
        <f t="shared" ref="H52:I52" si="16">SUM(H50,H48,H43)</f>
        <v>183738.90815218593</v>
      </c>
      <c r="I52" s="39">
        <f t="shared" si="16"/>
        <v>205657.26596533207</v>
      </c>
    </row>
    <row r="53" spans="2:9" ht="15" thickTop="1" x14ac:dyDescent="0.3">
      <c r="B53" s="57"/>
      <c r="C53" s="2"/>
      <c r="D53" s="11"/>
      <c r="E53" s="11"/>
      <c r="F53" s="11"/>
      <c r="G53" s="123"/>
      <c r="H53" s="123"/>
      <c r="I53" s="23"/>
    </row>
    <row r="54" spans="2:9" x14ac:dyDescent="0.3">
      <c r="B54" s="57"/>
      <c r="C54" s="2"/>
      <c r="D54" s="11"/>
      <c r="E54" s="11"/>
      <c r="F54" s="11"/>
      <c r="G54" s="113"/>
      <c r="H54" s="113"/>
    </row>
    <row r="55" spans="2:9" x14ac:dyDescent="0.3">
      <c r="B55" s="57" t="s">
        <v>120</v>
      </c>
      <c r="C55" s="2"/>
      <c r="D55" s="11"/>
      <c r="E55" s="11"/>
      <c r="F55" s="11"/>
      <c r="G55" s="113"/>
      <c r="H55" s="113"/>
    </row>
    <row r="56" spans="2:9" x14ac:dyDescent="0.3">
      <c r="B56" s="35" t="s">
        <v>121</v>
      </c>
      <c r="C56" s="7"/>
      <c r="D56" s="52">
        <f>'Raw Data'!C43/Divisor_Cr</f>
        <v>70186.435100000002</v>
      </c>
      <c r="E56" s="52">
        <f>'Raw Data'!D43/Divisor_Cr</f>
        <v>83986.914699999994</v>
      </c>
      <c r="F56" s="52">
        <f>'Raw Data'!E43/Divisor_Cr</f>
        <v>92618.267200000002</v>
      </c>
      <c r="G56" s="17">
        <f>Schedule!G8</f>
        <v>103732.45926400002</v>
      </c>
      <c r="H56" s="17">
        <f>Schedule!H8</f>
        <v>117217.67896832</v>
      </c>
      <c r="I56" s="17">
        <f>Schedule!I8</f>
        <v>132455.97723420159</v>
      </c>
    </row>
    <row r="57" spans="2:9" x14ac:dyDescent="0.3">
      <c r="B57" s="35" t="s">
        <v>64</v>
      </c>
      <c r="C57" s="7"/>
      <c r="D57" s="52">
        <f>'Raw Data'!C42/Divisor_Cr</f>
        <v>28730.261500000001</v>
      </c>
      <c r="E57" s="52">
        <f>'Raw Data'!D42/Divisor_Cr</f>
        <v>29477.760200000001</v>
      </c>
      <c r="F57" s="52">
        <f>'Raw Data'!E42/Divisor_Cr</f>
        <v>32103.0929</v>
      </c>
      <c r="G57" s="17">
        <f>Schedule!G23</f>
        <v>34350.309402999999</v>
      </c>
      <c r="H57" s="17">
        <f>Schedule!H23</f>
        <v>36754.831061210003</v>
      </c>
      <c r="I57" s="17">
        <f>Schedule!I23</f>
        <v>39327.669235494708</v>
      </c>
    </row>
    <row r="58" spans="2:9" x14ac:dyDescent="0.3">
      <c r="B58" s="35" t="s">
        <v>122</v>
      </c>
      <c r="C58" s="7"/>
      <c r="D58" s="52">
        <f>'Raw Data'!C41/Divisor_Cr</f>
        <v>2289.1311000000001</v>
      </c>
      <c r="E58" s="52">
        <f>'Raw Data'!D41/Divisor_Cr</f>
        <v>2352.6019999999999</v>
      </c>
      <c r="F58" s="52">
        <f>'Raw Data'!E41/Divisor_Cr</f>
        <v>1601.6262999999999</v>
      </c>
      <c r="G58" s="17">
        <f>G52-(G56+G57+G66)</f>
        <v>2407.9409543443762</v>
      </c>
      <c r="H58" s="17">
        <f t="shared" ref="H58:I58" si="17">H52-(H56+H57+H66)</f>
        <v>3121.8094042527955</v>
      </c>
      <c r="I58" s="17">
        <f t="shared" si="17"/>
        <v>3962.1537887488375</v>
      </c>
    </row>
    <row r="59" spans="2:9" x14ac:dyDescent="0.3">
      <c r="B59" s="64" t="s">
        <v>123</v>
      </c>
      <c r="C59" s="20"/>
      <c r="D59" s="8">
        <f>SUM(D56:D58)</f>
        <v>101205.82769999999</v>
      </c>
      <c r="E59" s="8">
        <f t="shared" ref="E59" si="18">SUM(E56:E58)</f>
        <v>115817.2769</v>
      </c>
      <c r="F59" s="8">
        <f>SUM(F56:F58)</f>
        <v>126322.98640000001</v>
      </c>
      <c r="G59" s="21">
        <f>SUM(G56:G58)</f>
        <v>140490.7096213444</v>
      </c>
      <c r="H59" s="21">
        <f t="shared" ref="H59:I59" si="19">SUM(H56:H58)</f>
        <v>157094.3194337828</v>
      </c>
      <c r="I59" s="21">
        <f t="shared" si="19"/>
        <v>175745.80025844515</v>
      </c>
    </row>
    <row r="60" spans="2:9" x14ac:dyDescent="0.3">
      <c r="B60" s="63"/>
      <c r="C60" s="7"/>
      <c r="D60" s="11"/>
      <c r="E60" s="11"/>
      <c r="F60" s="11"/>
      <c r="G60" s="124"/>
      <c r="H60" s="124"/>
    </row>
    <row r="61" spans="2:9" x14ac:dyDescent="0.3">
      <c r="B61" s="57" t="s">
        <v>124</v>
      </c>
      <c r="C61" s="7"/>
      <c r="D61" s="11"/>
      <c r="E61" s="11"/>
      <c r="F61" s="11"/>
      <c r="G61" s="125"/>
      <c r="H61" s="125"/>
    </row>
    <row r="62" spans="2:9" x14ac:dyDescent="0.3">
      <c r="B62" s="35" t="s">
        <v>125</v>
      </c>
      <c r="C62" s="7"/>
      <c r="D62" s="52">
        <f>'Raw Data'!C40/Divisor_Cr</f>
        <v>6238.0555000000004</v>
      </c>
      <c r="E62" s="52">
        <f>'Raw Data'!D40/Divisor_Cr</f>
        <v>12070.8226</v>
      </c>
      <c r="F62" s="52">
        <f>'Raw Data'!E40/Divisor_Cr</f>
        <v>10964.7567</v>
      </c>
      <c r="G62" s="126">
        <f>(((D62/D46)+(E62/E46)+(F62/F46))/3)*G46</f>
        <v>11861.980023982604</v>
      </c>
      <c r="H62" s="126">
        <f>(((D62/D46)+(E62/E46)+(F62/F46))/3)*H46</f>
        <v>13285.417626860519</v>
      </c>
      <c r="I62" s="59">
        <f>(((D62/D46)+(E62/E46)+(F62/F46))/3)*I46</f>
        <v>14879.667742083782</v>
      </c>
    </row>
    <row r="63" spans="2:9" x14ac:dyDescent="0.3">
      <c r="B63" s="35" t="s">
        <v>66</v>
      </c>
      <c r="C63" s="7"/>
      <c r="D63" s="52">
        <f>'Raw Data'!C44/Divisor_Cr</f>
        <v>598.49260000000004</v>
      </c>
      <c r="E63" s="52">
        <f>'Raw Data'!D44/Divisor_Cr</f>
        <v>557.89530000000002</v>
      </c>
      <c r="F63" s="52">
        <f>'Raw Data'!E44/Divisor_Cr</f>
        <v>603.80999999999995</v>
      </c>
      <c r="G63" s="113">
        <f>F63*(1+Assumptions!$D$28)</f>
        <v>627.9624</v>
      </c>
      <c r="H63" s="113">
        <f>G63*(1+Assumptions!$D$28)</f>
        <v>653.08089600000005</v>
      </c>
      <c r="I63" s="11">
        <f>H63*(1+Assumptions!$D$28)</f>
        <v>679.20413184000006</v>
      </c>
    </row>
    <row r="64" spans="2:9" x14ac:dyDescent="0.3">
      <c r="B64" s="35" t="s">
        <v>67</v>
      </c>
      <c r="C64" s="7"/>
      <c r="D64" s="52">
        <f>'Raw Data'!C45/Divisor_Cr</f>
        <v>7722.6580000000004</v>
      </c>
      <c r="E64" s="52">
        <f>'Raw Data'!D45/Divisor_Cr</f>
        <v>9967.2473000000009</v>
      </c>
      <c r="F64" s="52">
        <f>'Raw Data'!E45/Divisor_Cr</f>
        <v>8839.8816999999999</v>
      </c>
      <c r="G64" s="113">
        <f>(((D64/D56)+(E64/E56)+(F64/F56))/3)*G56</f>
        <v>11208.329730568683</v>
      </c>
      <c r="H64" s="113">
        <f>(((D64/D56)+(E64/E56)+(F64/F56))/3)*H56</f>
        <v>12665.41259554261</v>
      </c>
      <c r="I64" s="59">
        <f>(((D64/D56)+(E64/E56)+(F64/F56))/3)*I56</f>
        <v>14311.916232963147</v>
      </c>
    </row>
    <row r="65" spans="2:14" x14ac:dyDescent="0.3">
      <c r="B65" s="35" t="s">
        <v>126</v>
      </c>
      <c r="C65" s="7"/>
      <c r="D65" s="52">
        <f>'Raw Data'!C39/Divisor_Cr</f>
        <v>40.677599999999998</v>
      </c>
      <c r="E65" s="52">
        <f>'Raw Data'!D39/Divisor_Cr</f>
        <v>40.677599999999998</v>
      </c>
      <c r="F65" s="52">
        <f>'Raw Data'!E39/Divisor_Cr</f>
        <v>40.677599999999998</v>
      </c>
      <c r="G65" s="118">
        <f>F65</f>
        <v>40.677599999999998</v>
      </c>
      <c r="H65" s="118">
        <f>F65</f>
        <v>40.677599999999998</v>
      </c>
      <c r="I65" s="48">
        <f>F65</f>
        <v>40.677599999999998</v>
      </c>
      <c r="L65" s="131"/>
      <c r="M65" s="132"/>
      <c r="N65" s="132"/>
    </row>
    <row r="66" spans="2:14" x14ac:dyDescent="0.3">
      <c r="B66" s="65" t="s">
        <v>127</v>
      </c>
      <c r="C66" s="20"/>
      <c r="D66" s="8">
        <f>SUM(D62:D65)</f>
        <v>14599.8837</v>
      </c>
      <c r="E66" s="8">
        <f t="shared" ref="E66:F66" si="20">SUM(E62:E65)</f>
        <v>22636.642799999998</v>
      </c>
      <c r="F66" s="128">
        <f t="shared" si="20"/>
        <v>20449.126</v>
      </c>
      <c r="G66" s="121">
        <f>SUM(G62:G65)</f>
        <v>23738.949754551286</v>
      </c>
      <c r="H66" s="128">
        <f t="shared" ref="H66:I66" si="21">SUM(H62:H65)</f>
        <v>26644.588718403127</v>
      </c>
      <c r="I66" s="8">
        <f t="shared" si="21"/>
        <v>29911.465706886931</v>
      </c>
      <c r="L66" s="132"/>
    </row>
    <row r="67" spans="2:14" ht="15" thickBot="1" x14ac:dyDescent="0.35">
      <c r="B67" s="66"/>
      <c r="C67" s="7"/>
      <c r="D67" s="11"/>
      <c r="E67" s="11"/>
      <c r="F67" s="69"/>
      <c r="G67" s="130"/>
      <c r="H67" s="130"/>
      <c r="I67" s="9"/>
    </row>
    <row r="68" spans="2:14" ht="15.6" thickTop="1" thickBot="1" x14ac:dyDescent="0.35">
      <c r="B68" s="67" t="s">
        <v>128</v>
      </c>
      <c r="C68" s="40"/>
      <c r="D68" s="38">
        <f>SUM(D66+D59)</f>
        <v>115805.7114</v>
      </c>
      <c r="E68" s="38">
        <f>SUM(E66,E59)</f>
        <v>138453.9197</v>
      </c>
      <c r="F68" s="68">
        <f>SUM(F66+F59)</f>
        <v>146772.11240000001</v>
      </c>
      <c r="G68" s="129">
        <f>SUM(G66,G59)</f>
        <v>164229.65937589569</v>
      </c>
      <c r="H68" s="129">
        <f>SUM(H66,H59)</f>
        <v>183738.90815218593</v>
      </c>
      <c r="I68" s="39">
        <f>SUM(I66,I59)</f>
        <v>205657.26596533207</v>
      </c>
    </row>
    <row r="69" spans="2:14" ht="15" thickTop="1" x14ac:dyDescent="0.3">
      <c r="B69" s="32"/>
      <c r="C69" s="7"/>
      <c r="D69" s="11"/>
      <c r="E69" s="11"/>
      <c r="F69" s="11"/>
      <c r="G69" s="133"/>
      <c r="H69" s="133"/>
    </row>
    <row r="70" spans="2:14" x14ac:dyDescent="0.3">
      <c r="B70" s="66" t="s">
        <v>129</v>
      </c>
      <c r="C70" s="7"/>
      <c r="D70" s="11"/>
      <c r="E70" s="11"/>
      <c r="F70" s="11"/>
      <c r="G70" s="127"/>
      <c r="H70" s="127"/>
    </row>
    <row r="71" spans="2:14" x14ac:dyDescent="0.3">
      <c r="B71" s="36" t="s">
        <v>70</v>
      </c>
      <c r="C71" s="19"/>
      <c r="D71" s="70">
        <f>'Raw Data'!C50</f>
        <v>85137.54</v>
      </c>
      <c r="E71" s="70">
        <f>'Raw Data'!D50/10</f>
        <v>98629.709999999992</v>
      </c>
      <c r="F71" s="70">
        <f>'Raw Data'!E50/10</f>
        <v>104830.98199999999</v>
      </c>
      <c r="G71" s="16">
        <f>Schedule!G66</f>
        <v>114105.70519040003</v>
      </c>
      <c r="H71" s="16">
        <f>Schedule!H66</f>
        <v>128939.44686515201</v>
      </c>
      <c r="I71" s="16">
        <f>Schedule!I66</f>
        <v>145701.57495762178</v>
      </c>
    </row>
    <row r="72" spans="2:14" ht="15" thickBot="1" x14ac:dyDescent="0.35">
      <c r="C72" s="3"/>
      <c r="D72" s="11"/>
      <c r="E72" s="11"/>
      <c r="F72" s="11"/>
      <c r="G72" s="17"/>
      <c r="H72" s="11"/>
    </row>
    <row r="73" spans="2:14" ht="18.600000000000001" thickBot="1" x14ac:dyDescent="0.4">
      <c r="B73" s="34" t="s">
        <v>130</v>
      </c>
      <c r="C73" s="3"/>
      <c r="D73" s="11"/>
      <c r="E73" s="11"/>
      <c r="F73" s="11"/>
      <c r="G73" s="17"/>
      <c r="H73" s="11"/>
    </row>
    <row r="74" spans="2:14" ht="15" thickBot="1" x14ac:dyDescent="0.35">
      <c r="B74" s="24" t="s">
        <v>86</v>
      </c>
      <c r="C74" s="13" t="s">
        <v>21</v>
      </c>
      <c r="D74" s="14" t="s">
        <v>88</v>
      </c>
      <c r="E74" s="14" t="s">
        <v>23</v>
      </c>
      <c r="F74" s="14" t="s">
        <v>24</v>
      </c>
      <c r="G74" s="22" t="s">
        <v>89</v>
      </c>
      <c r="H74" s="25" t="s">
        <v>90</v>
      </c>
      <c r="I74" s="25" t="s">
        <v>91</v>
      </c>
    </row>
    <row r="75" spans="2:14" x14ac:dyDescent="0.3">
      <c r="B75" s="28" t="s">
        <v>131</v>
      </c>
      <c r="C75" s="2"/>
      <c r="D75" s="41" t="s">
        <v>82</v>
      </c>
      <c r="E75" s="41">
        <f>E32/((E43+D43)/2)</f>
        <v>8.8840195411529849E-2</v>
      </c>
      <c r="F75" s="41">
        <f t="shared" ref="F75" si="22">F32/((F43+E43)/2)</f>
        <v>4.7009733791002123E-2</v>
      </c>
      <c r="G75" s="42">
        <f>G32/((F43+G43)/2)</f>
        <v>0.10747912401233099</v>
      </c>
      <c r="H75" s="42">
        <f t="shared" ref="H75:I75" si="23">H32/((G43+H43)/2)</f>
        <v>0.12355113843072772</v>
      </c>
      <c r="I75" s="42">
        <f t="shared" si="23"/>
        <v>0.13514309136006478</v>
      </c>
    </row>
    <row r="76" spans="2:14" x14ac:dyDescent="0.3">
      <c r="B76" s="28" t="s">
        <v>132</v>
      </c>
      <c r="C76" s="2"/>
      <c r="D76" s="12" t="s">
        <v>82</v>
      </c>
      <c r="E76" s="12">
        <f>E32/((E68+D68)/2)</f>
        <v>9.9102755285953061E-3</v>
      </c>
      <c r="F76" s="12">
        <f t="shared" ref="F76" si="24">F32/((F68+E68)/2)</f>
        <v>5.0280270333010911E-3</v>
      </c>
      <c r="G76" s="18">
        <f>G32/((G68+F68)/2)</f>
        <v>1.1364656791567736E-2</v>
      </c>
      <c r="H76" s="18">
        <f t="shared" ref="H76:I76" si="25">H32/((H68+G68)/2)</f>
        <v>1.2888133679538545E-2</v>
      </c>
      <c r="I76" s="18">
        <f t="shared" si="25"/>
        <v>1.3995184909990214E-2</v>
      </c>
    </row>
    <row r="77" spans="2:14" x14ac:dyDescent="0.3">
      <c r="B77" s="28" t="s">
        <v>133</v>
      </c>
      <c r="C77" s="2"/>
      <c r="D77" s="12" t="s">
        <v>82</v>
      </c>
      <c r="E77" s="12">
        <f>E15/((E59+D59)/2)</f>
        <v>5.5696828327466481E-2</v>
      </c>
      <c r="F77" s="12">
        <f t="shared" ref="F77" si="26">F15/((F59+E59)/2)</f>
        <v>5.339817518898355E-2</v>
      </c>
      <c r="G77" s="18">
        <f>G15/((G59+F59)/2)</f>
        <v>5.5098946506542124E-2</v>
      </c>
      <c r="H77" s="18">
        <f t="shared" ref="H77:I77" si="27">H15/((H59+G59)/2)</f>
        <v>5.3377826274486222E-2</v>
      </c>
      <c r="I77" s="18">
        <f t="shared" si="27"/>
        <v>5.1958593698391113E-2</v>
      </c>
    </row>
    <row r="78" spans="2:14" x14ac:dyDescent="0.3">
      <c r="B78" s="28" t="s">
        <v>134</v>
      </c>
      <c r="C78" s="2"/>
      <c r="D78" s="12" t="s">
        <v>82</v>
      </c>
      <c r="E78" s="12">
        <f t="shared" ref="E78:F78" si="28">-1*(E27/(E15+E24))</f>
        <v>0.65649339413732077</v>
      </c>
      <c r="F78" s="12">
        <f t="shared" si="28"/>
        <v>0.64323409010599419</v>
      </c>
      <c r="G78" s="18">
        <f>ABS(G27/G25)</f>
        <v>0.62</v>
      </c>
      <c r="H78" s="18">
        <f t="shared" ref="H78:I78" si="29">ABS(H27/H25)</f>
        <v>0.6</v>
      </c>
      <c r="I78" s="18">
        <f t="shared" si="29"/>
        <v>0.57999999999999996</v>
      </c>
    </row>
    <row r="79" spans="2:14" x14ac:dyDescent="0.3">
      <c r="B79" s="28" t="s">
        <v>135</v>
      </c>
      <c r="C79" s="2"/>
      <c r="D79" s="12" t="s">
        <v>82</v>
      </c>
      <c r="E79" s="12">
        <f>Schedule!E59/((Schedule!E8+Schedule!D8)/2)</f>
        <v>2.3071043112277239E-2</v>
      </c>
      <c r="F79" s="12">
        <f>Schedule!F59/((Schedule!F8+Schedule!E8)/2)</f>
        <v>3.3506038363872039E-2</v>
      </c>
      <c r="G79" s="18">
        <f>ABS(G29/G56)</f>
        <v>1.7999999999999999E-2</v>
      </c>
      <c r="H79" s="18">
        <f t="shared" ref="H79:I79" si="30">ABS(H29/H56)</f>
        <v>1.4999999999999999E-2</v>
      </c>
      <c r="I79" s="18">
        <f t="shared" si="30"/>
        <v>1.2999999999999999E-2</v>
      </c>
    </row>
    <row r="80" spans="2:14" x14ac:dyDescent="0.3">
      <c r="B80" s="28" t="s">
        <v>136</v>
      </c>
      <c r="C80" s="2"/>
      <c r="D80" s="41" t="s">
        <v>82</v>
      </c>
      <c r="E80" s="41">
        <f>Schedule!E8/Schedule!E14</f>
        <v>0.81169963158529612</v>
      </c>
      <c r="F80" s="41">
        <f>Schedule!F8/Schedule!F14</f>
        <v>0.83490348922386393</v>
      </c>
      <c r="G80" s="42">
        <f>G56/G46</f>
        <v>0.84242514227993481</v>
      </c>
      <c r="H80" s="42">
        <f t="shared" ref="H80:I80" si="31">H56/H46</f>
        <v>0.84994679533600537</v>
      </c>
      <c r="I80" s="42">
        <f t="shared" si="31"/>
        <v>0.85753560600864809</v>
      </c>
    </row>
    <row r="81" spans="2:9" x14ac:dyDescent="0.3">
      <c r="B81" s="28" t="s">
        <v>137</v>
      </c>
      <c r="C81" s="2"/>
      <c r="D81" s="41" t="s">
        <v>82</v>
      </c>
      <c r="E81" s="41">
        <f t="shared" ref="E81:F81" si="32">E43/E71</f>
        <v>0.15043578045601066</v>
      </c>
      <c r="F81" s="41">
        <f t="shared" si="32"/>
        <v>0.14947418311887989</v>
      </c>
      <c r="G81" s="42">
        <f>G43/G71</f>
        <v>0.15087119737975846</v>
      </c>
      <c r="H81" s="42">
        <f t="shared" ref="H81:I81" si="33">H43/H71</f>
        <v>0.14799804256543642</v>
      </c>
      <c r="I81" s="42">
        <f t="shared" si="33"/>
        <v>0.14579395504843656</v>
      </c>
    </row>
    <row r="82" spans="2:9" x14ac:dyDescent="0.3">
      <c r="B82" s="28" t="s">
        <v>138</v>
      </c>
      <c r="C82" s="2"/>
      <c r="D82" s="81" t="s">
        <v>82</v>
      </c>
      <c r="E82" s="81">
        <f>Schedule!E86*10000000/Financials!E34</f>
        <v>241.87102216158723</v>
      </c>
      <c r="F82" s="81">
        <f>Schedule!F86*10000000/Financials!F34</f>
        <v>256.98844076575864</v>
      </c>
      <c r="G82" s="134">
        <f>G43*10000000/G34</f>
        <v>282.33937115929018</v>
      </c>
      <c r="H82" s="134">
        <f t="shared" ref="H82:I82" si="34">H43*10000000/H34</f>
        <v>312.96770189391481</v>
      </c>
      <c r="I82" s="134">
        <f t="shared" si="34"/>
        <v>348.38665461900376</v>
      </c>
    </row>
    <row r="83" spans="2:9" x14ac:dyDescent="0.3">
      <c r="B83" s="43" t="s">
        <v>139</v>
      </c>
      <c r="C83" s="4"/>
      <c r="D83" s="44" t="s">
        <v>82</v>
      </c>
      <c r="E83" s="44" t="s">
        <v>82</v>
      </c>
      <c r="F83" s="106">
        <f>'Raw Data'!E68/Financials!F82</f>
        <v>1.1362378756410834</v>
      </c>
      <c r="G83" s="135">
        <f>'Raw Data'!$E$68/Financials!G82</f>
        <v>1.0342163715993384</v>
      </c>
      <c r="H83" s="135">
        <f>'Raw Data'!$E$68/Financials!H82</f>
        <v>0.93300362380197899</v>
      </c>
      <c r="I83" s="135">
        <f>'Raw Data'!$E$68/Financials!I82</f>
        <v>0.83814921188451286</v>
      </c>
    </row>
  </sheetData>
  <pageMargins left="0.7" right="0.7" top="0.75" bottom="0.75" header="0.3" footer="0.3"/>
  <pageSetup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23B2-AC96-4BB4-B745-C9466EC7A9E5}">
  <dimension ref="B2:J94"/>
  <sheetViews>
    <sheetView showGridLines="0" zoomScale="67" zoomScaleNormal="76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67" sqref="N67"/>
    </sheetView>
  </sheetViews>
  <sheetFormatPr defaultRowHeight="14.4" x14ac:dyDescent="0.3"/>
  <cols>
    <col min="1" max="1" width="0.33203125" customWidth="1"/>
    <col min="2" max="2" width="32.88671875" customWidth="1"/>
    <col min="4" max="4" width="13.6640625" bestFit="1" customWidth="1"/>
    <col min="5" max="5" width="18.33203125" bestFit="1" customWidth="1"/>
    <col min="6" max="6" width="18.109375" bestFit="1" customWidth="1"/>
    <col min="7" max="7" width="10.6640625" bestFit="1" customWidth="1"/>
    <col min="8" max="9" width="11.44140625" customWidth="1"/>
    <col min="10" max="10" width="11.33203125" customWidth="1"/>
  </cols>
  <sheetData>
    <row r="2" spans="2:9" ht="21.6" thickBot="1" x14ac:dyDescent="0.45">
      <c r="B2" s="76" t="s">
        <v>140</v>
      </c>
    </row>
    <row r="3" spans="2:9" ht="21.6" thickTop="1" x14ac:dyDescent="0.4">
      <c r="B3" s="75"/>
    </row>
    <row r="5" spans="2:9" x14ac:dyDescent="0.3">
      <c r="B5" t="s">
        <v>141</v>
      </c>
      <c r="C5" t="s">
        <v>21</v>
      </c>
      <c r="D5" s="56" t="s">
        <v>142</v>
      </c>
      <c r="E5" s="56" t="s">
        <v>143</v>
      </c>
      <c r="F5" s="56" t="s">
        <v>144</v>
      </c>
      <c r="G5" s="56" t="s">
        <v>145</v>
      </c>
      <c r="H5" s="56" t="s">
        <v>146</v>
      </c>
      <c r="I5" s="56" t="s">
        <v>147</v>
      </c>
    </row>
    <row r="6" spans="2:9" ht="15" thickBot="1" x14ac:dyDescent="0.35">
      <c r="B6" s="78" t="s">
        <v>148</v>
      </c>
    </row>
    <row r="7" spans="2:9" ht="15" thickTop="1" x14ac:dyDescent="0.3"/>
    <row r="8" spans="2:9" x14ac:dyDescent="0.3">
      <c r="B8" s="35" t="s">
        <v>65</v>
      </c>
      <c r="D8" s="82">
        <f>Financials!D56</f>
        <v>70186.435100000002</v>
      </c>
      <c r="E8" s="82">
        <f>Financials!E56</f>
        <v>83986.914699999994</v>
      </c>
      <c r="F8" s="82">
        <f>Financials!F56</f>
        <v>92618.267200000002</v>
      </c>
      <c r="G8" s="48">
        <f>F8*(1+Assumptions!D6)</f>
        <v>103732.45926400002</v>
      </c>
      <c r="H8" s="48">
        <f>G8*(1+Assumptions!E6)</f>
        <v>117217.67896832</v>
      </c>
      <c r="I8" s="48">
        <f>H8*(1+Assumptions!F6)</f>
        <v>132455.97723420159</v>
      </c>
    </row>
    <row r="9" spans="2:9" x14ac:dyDescent="0.3">
      <c r="B9" s="35" t="s">
        <v>149</v>
      </c>
      <c r="D9" s="79">
        <f>(70186.44/60004.5657)-1</f>
        <v>0.16968499282047134</v>
      </c>
      <c r="E9" s="79">
        <f>(E8/D8)-1</f>
        <v>0.19662602296779119</v>
      </c>
      <c r="F9" s="79">
        <f>(F8/E8)-1</f>
        <v>0.10277020570205564</v>
      </c>
      <c r="G9" s="83">
        <f>Assumptions!D6</f>
        <v>0.12</v>
      </c>
      <c r="H9" s="83">
        <f>Assumptions!E6</f>
        <v>0.13</v>
      </c>
      <c r="I9" s="83">
        <f>Assumptions!F6</f>
        <v>0.13</v>
      </c>
    </row>
    <row r="12" spans="2:9" ht="15" thickBot="1" x14ac:dyDescent="0.35">
      <c r="B12" s="78" t="s">
        <v>72</v>
      </c>
    </row>
    <row r="13" spans="2:9" ht="15" thickTop="1" x14ac:dyDescent="0.3"/>
    <row r="14" spans="2:9" x14ac:dyDescent="0.3">
      <c r="B14" s="35" t="s">
        <v>57</v>
      </c>
      <c r="D14" s="82">
        <f>Financials!D46</f>
        <v>84874.737699999998</v>
      </c>
      <c r="E14" s="82">
        <f>Financials!E46</f>
        <v>103470.4359</v>
      </c>
      <c r="F14" s="82">
        <f>Financials!F46</f>
        <v>110932.9023</v>
      </c>
      <c r="G14" s="48">
        <f>F14*(1+Assumptions!D7)</f>
        <v>123135.52155300001</v>
      </c>
      <c r="H14" s="48">
        <f>G14*(1+Assumptions!E7)</f>
        <v>137911.78413936004</v>
      </c>
      <c r="I14" s="48">
        <f>H14*(1+Assumptions!F7)</f>
        <v>154461.19823608326</v>
      </c>
    </row>
    <row r="15" spans="2:9" x14ac:dyDescent="0.3">
      <c r="B15" s="35" t="s">
        <v>150</v>
      </c>
      <c r="D15" s="79">
        <f>(84874.74/79006.3571)-1</f>
        <v>7.4277350777890883E-2</v>
      </c>
      <c r="E15" s="79">
        <f>(E14/D14)-1</f>
        <v>0.21909579580356109</v>
      </c>
      <c r="F15" s="79">
        <f>(F14/E14)-1</f>
        <v>7.2121725738279352E-2</v>
      </c>
      <c r="G15" s="83">
        <f>Assumptions!D7</f>
        <v>0.11</v>
      </c>
      <c r="H15" s="83">
        <f>Assumptions!E7</f>
        <v>0.12</v>
      </c>
      <c r="I15" s="83">
        <f>Assumptions!F7</f>
        <v>0.12</v>
      </c>
    </row>
    <row r="16" spans="2:9" x14ac:dyDescent="0.3">
      <c r="H16" s="49"/>
      <c r="I16" s="49"/>
    </row>
    <row r="17" spans="2:9" x14ac:dyDescent="0.3">
      <c r="B17" t="s">
        <v>151</v>
      </c>
    </row>
    <row r="18" spans="2:9" x14ac:dyDescent="0.3">
      <c r="B18" s="35" t="s">
        <v>152</v>
      </c>
      <c r="D18" s="79">
        <f>'Raw Data'!C65/'Raw Data'!C66</f>
        <v>0.62645277341800321</v>
      </c>
      <c r="E18" s="79">
        <f>'Raw Data'!D65/'Raw Data'!D66</f>
        <v>0.64786874160641283</v>
      </c>
      <c r="F18" s="79">
        <f>'Raw Data'!E65/'Raw Data'!E66</f>
        <v>0.65857606161269611</v>
      </c>
      <c r="G18" s="84">
        <f>F18</f>
        <v>0.65857606161269611</v>
      </c>
      <c r="H18" s="84">
        <f t="shared" ref="H18:I18" si="0">G18</f>
        <v>0.65857606161269611</v>
      </c>
      <c r="I18" s="84">
        <f t="shared" si="0"/>
        <v>0.65857606161269611</v>
      </c>
    </row>
    <row r="21" spans="2:9" ht="15" thickBot="1" x14ac:dyDescent="0.35">
      <c r="B21" s="78" t="s">
        <v>153</v>
      </c>
    </row>
    <row r="22" spans="2:9" ht="15" thickTop="1" x14ac:dyDescent="0.3"/>
    <row r="23" spans="2:9" x14ac:dyDescent="0.3">
      <c r="B23" s="35" t="s">
        <v>64</v>
      </c>
      <c r="D23" s="82">
        <f>Financials!D57</f>
        <v>28730.261500000001</v>
      </c>
      <c r="E23" s="82">
        <f>Financials!E57</f>
        <v>29477.760200000001</v>
      </c>
      <c r="F23" s="82">
        <f>Financials!F57</f>
        <v>32103.0929</v>
      </c>
      <c r="G23" s="48">
        <f>F23*(1+Assumptions!D8)</f>
        <v>34350.309402999999</v>
      </c>
      <c r="H23" s="48">
        <f>G23*(1+Assumptions!E8)</f>
        <v>36754.831061210003</v>
      </c>
      <c r="I23" s="48">
        <f>H23*(1+Assumptions!F8)</f>
        <v>39327.669235494708</v>
      </c>
    </row>
    <row r="24" spans="2:9" x14ac:dyDescent="0.3">
      <c r="B24" s="35" t="s">
        <v>154</v>
      </c>
      <c r="D24" s="79">
        <f>(28730.26/22129.16)-1</f>
        <v>0.29829871536018526</v>
      </c>
      <c r="E24" s="79">
        <f>(E23/D23)-1</f>
        <v>2.6017817484884409E-2</v>
      </c>
      <c r="F24" s="79">
        <f>(F23/E23)-1</f>
        <v>8.9061471502166478E-2</v>
      </c>
      <c r="G24" s="83">
        <f>Assumptions!D8</f>
        <v>7.0000000000000007E-2</v>
      </c>
      <c r="H24" s="83">
        <f>Assumptions!E8</f>
        <v>7.0000000000000007E-2</v>
      </c>
      <c r="I24" s="83">
        <f>Assumptions!F8</f>
        <v>7.0000000000000007E-2</v>
      </c>
    </row>
    <row r="27" spans="2:9" ht="15" thickBot="1" x14ac:dyDescent="0.35">
      <c r="B27" s="78" t="s">
        <v>120</v>
      </c>
    </row>
    <row r="28" spans="2:9" ht="15" thickTop="1" x14ac:dyDescent="0.3"/>
    <row r="29" spans="2:9" x14ac:dyDescent="0.3">
      <c r="B29" s="35" t="s">
        <v>65</v>
      </c>
      <c r="D29" s="82">
        <f>Financials!D56</f>
        <v>70186.435100000002</v>
      </c>
      <c r="E29" s="82">
        <f>Financials!E56</f>
        <v>83986.914699999994</v>
      </c>
      <c r="F29" s="82">
        <f>Financials!F56</f>
        <v>92618.267200000002</v>
      </c>
      <c r="G29" s="48">
        <f>G8</f>
        <v>103732.45926400002</v>
      </c>
      <c r="H29" s="48">
        <f>H8</f>
        <v>117217.67896832</v>
      </c>
      <c r="I29" s="48">
        <f>I8</f>
        <v>132455.97723420159</v>
      </c>
    </row>
    <row r="30" spans="2:9" x14ac:dyDescent="0.3">
      <c r="B30" s="35" t="s">
        <v>64</v>
      </c>
      <c r="D30" s="82">
        <f>Financials!D57</f>
        <v>28730.261500000001</v>
      </c>
      <c r="E30" s="82">
        <f>Financials!E57</f>
        <v>29477.760200000001</v>
      </c>
      <c r="F30" s="82">
        <f>Financials!F57</f>
        <v>32103.0929</v>
      </c>
      <c r="G30" s="48">
        <f>G23</f>
        <v>34350.309402999999</v>
      </c>
      <c r="H30" s="48">
        <f>H23</f>
        <v>36754.831061210003</v>
      </c>
      <c r="I30" s="48">
        <f>I23</f>
        <v>39327.669235494708</v>
      </c>
    </row>
    <row r="31" spans="2:9" x14ac:dyDescent="0.3">
      <c r="B31" s="35" t="s">
        <v>155</v>
      </c>
      <c r="D31" s="82">
        <f>Financials!D58</f>
        <v>2289.1311000000001</v>
      </c>
      <c r="E31" s="82">
        <f>Financials!E58</f>
        <v>2352.6019999999999</v>
      </c>
      <c r="F31" s="82">
        <f>Financials!F58</f>
        <v>1601.6262999999999</v>
      </c>
      <c r="G31" s="48">
        <f>G8*2%</f>
        <v>2074.6491852800004</v>
      </c>
      <c r="H31" s="48">
        <f t="shared" ref="H31:I31" si="1">H8*2%</f>
        <v>2344.3535793664</v>
      </c>
      <c r="I31" s="48">
        <f t="shared" si="1"/>
        <v>2649.119544684032</v>
      </c>
    </row>
    <row r="32" spans="2:9" x14ac:dyDescent="0.3">
      <c r="B32" s="77" t="s">
        <v>123</v>
      </c>
      <c r="D32" s="48">
        <f>SUM(D29:D31)</f>
        <v>101205.82769999999</v>
      </c>
      <c r="E32" s="48">
        <f>SUM(E29:E31)</f>
        <v>115817.2769</v>
      </c>
      <c r="F32" s="48">
        <f>SUM(F29:F31)</f>
        <v>126322.98640000001</v>
      </c>
      <c r="G32" s="48">
        <f>SUM(G29:G31)</f>
        <v>140157.41785228002</v>
      </c>
      <c r="H32" s="48">
        <f t="shared" ref="H32:I32" si="2">SUM(H29:H31)</f>
        <v>156316.86360889641</v>
      </c>
      <c r="I32" s="48">
        <f t="shared" si="2"/>
        <v>174432.76601438035</v>
      </c>
    </row>
    <row r="34" spans="2:10" ht="15" thickBot="1" x14ac:dyDescent="0.35">
      <c r="B34" s="78" t="s">
        <v>156</v>
      </c>
    </row>
    <row r="35" spans="2:10" ht="15" thickTop="1" x14ac:dyDescent="0.3"/>
    <row r="36" spans="2:10" x14ac:dyDescent="0.3">
      <c r="B36" s="35" t="s">
        <v>157</v>
      </c>
      <c r="D36" s="48">
        <v>187785.75</v>
      </c>
      <c r="E36" s="48">
        <f>(E32+D32)/2</f>
        <v>108511.5523</v>
      </c>
      <c r="F36" s="48">
        <f>(F32+E32)/2</f>
        <v>121070.13165</v>
      </c>
      <c r="G36" s="48">
        <f>(G32+F32)/2</f>
        <v>133240.20212614001</v>
      </c>
      <c r="H36" s="48">
        <f t="shared" ref="H36:I36" si="3">(H32+G32)/2</f>
        <v>148237.14073058823</v>
      </c>
      <c r="I36" s="48">
        <f t="shared" si="3"/>
        <v>165374.81481163838</v>
      </c>
    </row>
    <row r="37" spans="2:10" x14ac:dyDescent="0.3">
      <c r="B37" s="35" t="s">
        <v>158</v>
      </c>
      <c r="D37" s="79">
        <f>D38/D36</f>
        <v>2.6615348076198541E-2</v>
      </c>
      <c r="E37" s="79">
        <f>E38/E36</f>
        <v>5.5696828327466481E-2</v>
      </c>
      <c r="F37" s="79">
        <f>F38/F36</f>
        <v>5.339817518898355E-2</v>
      </c>
      <c r="G37" s="83">
        <f>Assumptions!D12</f>
        <v>5.2999999999999999E-2</v>
      </c>
      <c r="H37" s="83">
        <f>Assumptions!E12</f>
        <v>5.2499999999999998E-2</v>
      </c>
      <c r="I37" s="83">
        <f>Assumptions!F12</f>
        <v>5.1999999999999998E-2</v>
      </c>
    </row>
    <row r="38" spans="2:10" x14ac:dyDescent="0.3">
      <c r="B38" s="77" t="s">
        <v>159</v>
      </c>
      <c r="D38" s="82">
        <f>Financials!D15</f>
        <v>4997.9831000000004</v>
      </c>
      <c r="E38" s="82">
        <f>Financials!E15</f>
        <v>6043.7493000000004</v>
      </c>
      <c r="F38" s="82">
        <f>Financials!F15</f>
        <v>6464.924100000002</v>
      </c>
      <c r="G38" s="59">
        <f>G37*G36</f>
        <v>7061.7307126854203</v>
      </c>
      <c r="H38" s="59">
        <f t="shared" ref="H38:I38" si="4">H37*H36</f>
        <v>7782.4498883558817</v>
      </c>
      <c r="I38" s="59">
        <f t="shared" si="4"/>
        <v>8599.4903702051961</v>
      </c>
    </row>
    <row r="39" spans="2:10" x14ac:dyDescent="0.3">
      <c r="H39" s="49"/>
    </row>
    <row r="41" spans="2:10" ht="15" thickBot="1" x14ac:dyDescent="0.35">
      <c r="B41" s="78" t="s">
        <v>160</v>
      </c>
      <c r="G41" s="48"/>
    </row>
    <row r="42" spans="2:10" ht="15" thickTop="1" x14ac:dyDescent="0.3"/>
    <row r="43" spans="2:10" x14ac:dyDescent="0.3">
      <c r="B43" s="35" t="s">
        <v>161</v>
      </c>
      <c r="D43" s="79">
        <f>D45/D44</f>
        <v>2.4770569610192517E-2</v>
      </c>
      <c r="E43" s="79">
        <f>E45/E44</f>
        <v>2.6420513259365022E-2</v>
      </c>
      <c r="F43" s="79">
        <f>F45/F44</f>
        <v>2.9910479538821283E-2</v>
      </c>
      <c r="G43" s="83">
        <f>Assumptions!D15</f>
        <v>2.9000000000000001E-2</v>
      </c>
      <c r="H43" s="83">
        <f>Assumptions!E15</f>
        <v>0.03</v>
      </c>
      <c r="I43" s="83">
        <f>Assumptions!F15</f>
        <v>0.03</v>
      </c>
    </row>
    <row r="44" spans="2:10" x14ac:dyDescent="0.3">
      <c r="B44" s="35" t="s">
        <v>162</v>
      </c>
      <c r="D44" s="48">
        <f t="shared" ref="D44:I44" si="5">D32</f>
        <v>101205.82769999999</v>
      </c>
      <c r="E44" s="48">
        <f t="shared" si="5"/>
        <v>115817.2769</v>
      </c>
      <c r="F44" s="48">
        <f t="shared" si="5"/>
        <v>126322.98640000001</v>
      </c>
      <c r="G44" s="48">
        <f t="shared" si="5"/>
        <v>140157.41785228002</v>
      </c>
      <c r="H44" s="48">
        <f t="shared" si="5"/>
        <v>156316.86360889641</v>
      </c>
      <c r="I44" s="48">
        <f t="shared" si="5"/>
        <v>174432.76601438035</v>
      </c>
    </row>
    <row r="45" spans="2:10" x14ac:dyDescent="0.3">
      <c r="B45" s="77" t="s">
        <v>163</v>
      </c>
      <c r="D45" s="82">
        <f>Financials!D24</f>
        <v>2506.9259999999999</v>
      </c>
      <c r="E45" s="82">
        <f>Financials!E24</f>
        <v>3059.9519</v>
      </c>
      <c r="F45" s="82">
        <f>Financials!F24</f>
        <v>3778.3810999999996</v>
      </c>
      <c r="G45" s="59">
        <f>G43*G44</f>
        <v>4064.5651177161208</v>
      </c>
      <c r="H45" s="59">
        <f t="shared" ref="H45:I45" si="6">H43*H44</f>
        <v>4689.5059082668922</v>
      </c>
      <c r="I45" s="59">
        <f t="shared" si="6"/>
        <v>5232.9829804314104</v>
      </c>
    </row>
    <row r="48" spans="2:10" ht="15" thickBot="1" x14ac:dyDescent="0.35">
      <c r="B48" s="78" t="s">
        <v>164</v>
      </c>
      <c r="J48" s="49"/>
    </row>
    <row r="49" spans="2:9" ht="15" thickTop="1" x14ac:dyDescent="0.3"/>
    <row r="50" spans="2:9" x14ac:dyDescent="0.3">
      <c r="B50" s="35" t="s">
        <v>165</v>
      </c>
      <c r="D50" s="79">
        <f>ABS(D52/D51)</f>
        <v>0.70111696622681263</v>
      </c>
      <c r="E50" s="79">
        <f>ABS(E52/E51)</f>
        <v>0.65649339413732077</v>
      </c>
      <c r="F50" s="79">
        <f>ABS(F52/F51)</f>
        <v>0.64323409010599419</v>
      </c>
      <c r="G50" s="83">
        <f>Assumptions!D13</f>
        <v>0.62</v>
      </c>
      <c r="H50" s="83">
        <f>Assumptions!E13</f>
        <v>0.6</v>
      </c>
      <c r="I50" s="83">
        <f>Assumptions!F13</f>
        <v>0.57999999999999996</v>
      </c>
    </row>
    <row r="51" spans="2:9" x14ac:dyDescent="0.3">
      <c r="B51" s="35" t="s">
        <v>166</v>
      </c>
      <c r="D51" s="82">
        <f>Financials!D25</f>
        <v>7504.9091000000008</v>
      </c>
      <c r="E51" s="82">
        <f>Financials!E25</f>
        <v>9103.7011999999995</v>
      </c>
      <c r="F51" s="82">
        <f>Financials!F25</f>
        <v>10243.305200000003</v>
      </c>
      <c r="G51" s="59">
        <f>(G45+G38)</f>
        <v>11126.295830401541</v>
      </c>
      <c r="H51" s="59">
        <f t="shared" ref="H51:I51" si="7">(H45+H38)</f>
        <v>12471.955796622773</v>
      </c>
      <c r="I51" s="59">
        <f t="shared" si="7"/>
        <v>13832.473350636606</v>
      </c>
    </row>
    <row r="52" spans="2:9" x14ac:dyDescent="0.3">
      <c r="B52" s="77" t="s">
        <v>167</v>
      </c>
      <c r="D52" s="82">
        <f>Financials!D27</f>
        <v>-5261.8190999999997</v>
      </c>
      <c r="E52" s="82">
        <f>Financials!E27</f>
        <v>-5976.5196999999998</v>
      </c>
      <c r="F52" s="82">
        <f>Financials!F27</f>
        <v>-6588.8431</v>
      </c>
      <c r="G52" s="59">
        <f>-G51*G50</f>
        <v>-6898.3034148489551</v>
      </c>
      <c r="H52" s="59">
        <f t="shared" ref="H52:I52" si="8">-H51*H50</f>
        <v>-7483.1734779736635</v>
      </c>
      <c r="I52" s="59">
        <f t="shared" si="8"/>
        <v>-8022.8345433692311</v>
      </c>
    </row>
    <row r="55" spans="2:9" ht="15" thickBot="1" x14ac:dyDescent="0.35">
      <c r="B55" s="78" t="s">
        <v>168</v>
      </c>
    </row>
    <row r="56" spans="2:9" ht="15" thickTop="1" x14ac:dyDescent="0.3"/>
    <row r="57" spans="2:9" x14ac:dyDescent="0.3">
      <c r="B57" t="s">
        <v>169</v>
      </c>
      <c r="D57" s="79">
        <f>D59/D58</f>
        <v>1.5699189416186102E-2</v>
      </c>
      <c r="E57" s="79">
        <f>E59/E58</f>
        <v>2.3071043112277239E-2</v>
      </c>
      <c r="F57" s="79">
        <f>F59/F58</f>
        <v>3.3506038363872039E-2</v>
      </c>
      <c r="G57" s="83">
        <f>Assumptions!D14</f>
        <v>1.7999999999999999E-2</v>
      </c>
      <c r="H57" s="83">
        <f>Assumptions!E14</f>
        <v>1.4999999999999999E-2</v>
      </c>
      <c r="I57" s="83">
        <f>Assumptions!F14</f>
        <v>1.2999999999999999E-2</v>
      </c>
    </row>
    <row r="58" spans="2:9" x14ac:dyDescent="0.3">
      <c r="B58" t="s">
        <v>170</v>
      </c>
      <c r="D58" s="48">
        <f>(60005+Financials!D56)/2</f>
        <v>65095.717550000001</v>
      </c>
      <c r="E58" s="48">
        <f>(Financials!D56+Financials!E56)/2</f>
        <v>77086.674899999998</v>
      </c>
      <c r="F58" s="48">
        <f>(Financials!E56+Financials!F56)/2</f>
        <v>88302.590949999998</v>
      </c>
      <c r="G58" s="48">
        <f>(G29+F29)/2</f>
        <v>98175.363232000003</v>
      </c>
      <c r="H58" s="48">
        <f t="shared" ref="H58:I58" si="9">(H29+G29)/2</f>
        <v>110475.06911616001</v>
      </c>
      <c r="I58" s="48">
        <f t="shared" si="9"/>
        <v>124836.82810126079</v>
      </c>
    </row>
    <row r="59" spans="2:9" x14ac:dyDescent="0.3">
      <c r="B59" s="77" t="s">
        <v>171</v>
      </c>
      <c r="D59" s="59">
        <f>ABS(Financials!D29)</f>
        <v>1021.9499999999999</v>
      </c>
      <c r="E59" s="59">
        <f>ABS(Financials!E29)</f>
        <v>1778.4699999999998</v>
      </c>
      <c r="F59" s="59">
        <f>ABS(Financials!F29)</f>
        <v>2958.67</v>
      </c>
      <c r="G59" s="59">
        <f>G58*G57</f>
        <v>1767.1565381759999</v>
      </c>
      <c r="H59" s="59">
        <f t="shared" ref="H59:I59" si="10">H58*H57</f>
        <v>1657.1260367424002</v>
      </c>
      <c r="I59" s="59">
        <f t="shared" si="10"/>
        <v>1622.8787653163902</v>
      </c>
    </row>
    <row r="62" spans="2:9" ht="15" thickBot="1" x14ac:dyDescent="0.35">
      <c r="B62" s="78" t="s">
        <v>172</v>
      </c>
    </row>
    <row r="63" spans="2:9" ht="15" thickTop="1" x14ac:dyDescent="0.3"/>
    <row r="64" spans="2:9" x14ac:dyDescent="0.3">
      <c r="B64" t="s">
        <v>173</v>
      </c>
      <c r="D64" s="79">
        <f>D66/D65</f>
        <v>1.2130198645749426</v>
      </c>
      <c r="E64" s="79">
        <f>E66/E65</f>
        <v>1.1743461508534256</v>
      </c>
      <c r="F64" s="79">
        <f>F66/F65</f>
        <v>1.1318607567298558</v>
      </c>
      <c r="G64" s="83">
        <f>Assumptions!D24</f>
        <v>1.1000000000000001</v>
      </c>
      <c r="H64" s="83">
        <f>Assumptions!E24</f>
        <v>1.1000000000000001</v>
      </c>
      <c r="I64" s="83">
        <f>Assumptions!F24</f>
        <v>1.1000000000000001</v>
      </c>
    </row>
    <row r="65" spans="2:9" x14ac:dyDescent="0.3">
      <c r="B65" t="s">
        <v>65</v>
      </c>
      <c r="D65" s="82">
        <f>Financials!D56</f>
        <v>70186.435100000002</v>
      </c>
      <c r="E65" s="82">
        <f>Financials!E56</f>
        <v>83986.914699999994</v>
      </c>
      <c r="F65" s="82">
        <f>Financials!F56</f>
        <v>92618.267200000002</v>
      </c>
      <c r="G65" s="48">
        <f>G8</f>
        <v>103732.45926400002</v>
      </c>
      <c r="H65" s="48">
        <f>H8</f>
        <v>117217.67896832</v>
      </c>
      <c r="I65" s="48">
        <f>I8</f>
        <v>132455.97723420159</v>
      </c>
    </row>
    <row r="66" spans="2:9" x14ac:dyDescent="0.3">
      <c r="B66" s="77" t="s">
        <v>70</v>
      </c>
      <c r="D66" s="82">
        <f>Financials!D71</f>
        <v>85137.54</v>
      </c>
      <c r="E66" s="82">
        <f>Financials!E71</f>
        <v>98629.709999999992</v>
      </c>
      <c r="F66" s="82">
        <f>Financials!F71</f>
        <v>104830.98199999999</v>
      </c>
      <c r="G66" s="48">
        <f>G65*G64</f>
        <v>114105.70519040003</v>
      </c>
      <c r="H66" s="48">
        <f t="shared" ref="H66:I66" si="11">H65*H64</f>
        <v>128939.44686515201</v>
      </c>
      <c r="I66" s="48">
        <f t="shared" si="11"/>
        <v>145701.57495762178</v>
      </c>
    </row>
    <row r="69" spans="2:9" ht="15" thickBot="1" x14ac:dyDescent="0.35">
      <c r="B69" s="78" t="s">
        <v>174</v>
      </c>
    </row>
    <row r="70" spans="2:9" ht="15" thickTop="1" x14ac:dyDescent="0.3"/>
    <row r="71" spans="2:9" x14ac:dyDescent="0.3">
      <c r="B71" t="s">
        <v>175</v>
      </c>
      <c r="D71" s="82">
        <f>Financials!D43</f>
        <v>13525.6587</v>
      </c>
      <c r="E71" s="82">
        <f>Financials!E43</f>
        <v>14837.437399999999</v>
      </c>
      <c r="F71" s="82">
        <f>Financials!F43</f>
        <v>15669.5254</v>
      </c>
      <c r="G71" s="59">
        <f>G86</f>
        <v>17293.677079068548</v>
      </c>
      <c r="H71" s="59">
        <f>H86</f>
        <v>19417.607958784076</v>
      </c>
      <c r="I71" s="59">
        <f>I86</f>
        <v>21992.465384583931</v>
      </c>
    </row>
    <row r="72" spans="2:9" x14ac:dyDescent="0.3">
      <c r="B72" t="s">
        <v>70</v>
      </c>
      <c r="D72" s="82">
        <f>Financials!D71</f>
        <v>85137.54</v>
      </c>
      <c r="E72" s="82">
        <f>Financials!E71</f>
        <v>98629.709999999992</v>
      </c>
      <c r="F72" s="82">
        <f>Financials!F71</f>
        <v>104830.98199999999</v>
      </c>
      <c r="G72" s="48">
        <f>G66</f>
        <v>114105.70519040003</v>
      </c>
      <c r="H72" s="48">
        <f>H66</f>
        <v>128939.44686515201</v>
      </c>
      <c r="I72" s="48">
        <f>I66</f>
        <v>145701.57495762178</v>
      </c>
    </row>
    <row r="73" spans="2:9" x14ac:dyDescent="0.3">
      <c r="B73" s="77" t="s">
        <v>176</v>
      </c>
      <c r="D73" s="79">
        <f>D71/D72</f>
        <v>0.15886832882415913</v>
      </c>
      <c r="E73" s="79">
        <f>E71/E72</f>
        <v>0.15043578045601066</v>
      </c>
      <c r="F73" s="79">
        <f>F71/F72</f>
        <v>0.14947418311887989</v>
      </c>
      <c r="G73" s="79">
        <f t="shared" ref="G73:I73" si="12">G71/G72</f>
        <v>0.15155839096924931</v>
      </c>
      <c r="H73" s="79">
        <f t="shared" si="12"/>
        <v>0.15059478251904926</v>
      </c>
      <c r="I73" s="79">
        <f t="shared" si="12"/>
        <v>0.15094185077258485</v>
      </c>
    </row>
    <row r="75" spans="2:9" x14ac:dyDescent="0.3">
      <c r="B75" t="s">
        <v>177</v>
      </c>
      <c r="D75" s="56" t="s">
        <v>82</v>
      </c>
      <c r="E75" s="56" t="s">
        <v>82</v>
      </c>
      <c r="F75" s="56" t="s">
        <v>82</v>
      </c>
      <c r="G75" s="86">
        <v>0.14000000000000001</v>
      </c>
      <c r="H75" s="86">
        <v>0.14000000000000001</v>
      </c>
      <c r="I75" s="86">
        <v>0.14000000000000001</v>
      </c>
    </row>
    <row r="76" spans="2:9" x14ac:dyDescent="0.3">
      <c r="B76" t="s">
        <v>178</v>
      </c>
      <c r="D76" s="81" t="s">
        <v>82</v>
      </c>
      <c r="E76" s="81" t="s">
        <v>82</v>
      </c>
      <c r="F76" s="81" t="s">
        <v>82</v>
      </c>
      <c r="G76" s="59">
        <f>G71-(G75*G72)</f>
        <v>1318.8783524125429</v>
      </c>
      <c r="H76" s="59">
        <f t="shared" ref="H76:I76" si="13">H71-(H75*H72)</f>
        <v>1366.0853976627914</v>
      </c>
      <c r="I76" s="59">
        <f t="shared" si="13"/>
        <v>1594.2448905168785</v>
      </c>
    </row>
    <row r="79" spans="2:9" ht="15" thickBot="1" x14ac:dyDescent="0.35">
      <c r="B79" s="78" t="s">
        <v>179</v>
      </c>
    </row>
    <row r="80" spans="2:9" ht="15" thickTop="1" x14ac:dyDescent="0.3"/>
    <row r="81" spans="2:10" x14ac:dyDescent="0.3">
      <c r="B81" t="s">
        <v>180</v>
      </c>
      <c r="D81" s="82">
        <f>Financials!D43</f>
        <v>13525.6587</v>
      </c>
      <c r="E81" s="82">
        <f>D86</f>
        <v>13525.6587</v>
      </c>
      <c r="F81" s="85">
        <f>E86</f>
        <v>14837.437399999999</v>
      </c>
      <c r="G81" s="59">
        <f>F86</f>
        <v>15669.5254</v>
      </c>
      <c r="H81" s="59">
        <f>G86</f>
        <v>17293.677079068548</v>
      </c>
      <c r="I81" s="59">
        <f>H86</f>
        <v>19417.607958784076</v>
      </c>
    </row>
    <row r="82" spans="2:10" x14ac:dyDescent="0.3">
      <c r="B82" t="s">
        <v>181</v>
      </c>
      <c r="D82" s="85">
        <f>Financials!D32</f>
        <v>919.54000000000121</v>
      </c>
      <c r="E82" s="85">
        <f>Financials!E32</f>
        <v>1259.8915</v>
      </c>
      <c r="F82" s="85">
        <f>Financials!F32</f>
        <v>717.06210000000237</v>
      </c>
      <c r="G82" s="59">
        <f>(G51+G52-G59)*(1-Assumptions!D18)</f>
        <v>1845.6269080324394</v>
      </c>
      <c r="H82" s="59">
        <f>(H51+H52-H59)*(1-Assumptions!E18)</f>
        <v>2498.7422114300321</v>
      </c>
      <c r="I82" s="59">
        <f>(I51+I52-I59)*(1-Assumptions!F18)</f>
        <v>3140.070031463239</v>
      </c>
    </row>
    <row r="83" spans="2:10" x14ac:dyDescent="0.3">
      <c r="B83" t="s">
        <v>182</v>
      </c>
      <c r="D83" s="48">
        <f>-'Raw Data'!C52/10000</f>
        <v>0</v>
      </c>
      <c r="E83" s="48">
        <f>-'Raw Data'!D52/10000</f>
        <v>-90.034800000000004</v>
      </c>
      <c r="F83" s="48">
        <f>-'Raw Data'!E52/10000</f>
        <v>-90.962699999999998</v>
      </c>
      <c r="G83" s="80">
        <f>-G82*Assumptions!D19</f>
        <v>-221.4752289638927</v>
      </c>
      <c r="H83" s="80">
        <f>-H82*Assumptions!E19</f>
        <v>-374.81133171450477</v>
      </c>
      <c r="I83" s="80">
        <f>-I82*Assumptions!F19</f>
        <v>-565.21260566338299</v>
      </c>
      <c r="J83" s="49"/>
    </row>
    <row r="84" spans="2:10" x14ac:dyDescent="0.3">
      <c r="B84" t="s">
        <v>183</v>
      </c>
      <c r="D84" s="48">
        <f>0</f>
        <v>0</v>
      </c>
      <c r="E84" s="48">
        <f>Financials!E40-Financials!D40</f>
        <v>5.5318000000000893</v>
      </c>
      <c r="F84" s="48">
        <f>Financials!F40-Financials!E40</f>
        <v>2.7761999999999034</v>
      </c>
      <c r="G84" s="87">
        <v>0</v>
      </c>
      <c r="H84" s="87">
        <v>0</v>
      </c>
      <c r="I84" s="87">
        <v>0</v>
      </c>
      <c r="J84" s="48"/>
    </row>
    <row r="85" spans="2:10" x14ac:dyDescent="0.3">
      <c r="B85" t="s">
        <v>184</v>
      </c>
      <c r="D85" s="48">
        <f>0</f>
        <v>0</v>
      </c>
      <c r="E85" s="48">
        <f>Financials!E41-Financials!D41</f>
        <v>117.6947</v>
      </c>
      <c r="F85" s="48">
        <f>Financials!F41-Financials!E41</f>
        <v>52.172700000000006</v>
      </c>
      <c r="G85" s="87">
        <v>0</v>
      </c>
      <c r="H85" s="87">
        <v>0</v>
      </c>
      <c r="I85" s="87">
        <v>0</v>
      </c>
      <c r="J85" s="48"/>
    </row>
    <row r="86" spans="2:10" x14ac:dyDescent="0.3">
      <c r="B86" s="77" t="s">
        <v>185</v>
      </c>
      <c r="D86" s="82">
        <f>Financials!D43</f>
        <v>13525.6587</v>
      </c>
      <c r="E86" s="82">
        <f>Financials!E43</f>
        <v>14837.437399999999</v>
      </c>
      <c r="F86" s="85">
        <f>Financials!F43</f>
        <v>15669.5254</v>
      </c>
      <c r="G86" s="59">
        <f>SUM(G81:G85)</f>
        <v>17293.677079068548</v>
      </c>
      <c r="H86" s="59">
        <f t="shared" ref="H86:I86" si="14">SUM(H81:H85)</f>
        <v>19417.607958784076</v>
      </c>
      <c r="I86" s="59">
        <f t="shared" si="14"/>
        <v>21992.465384583931</v>
      </c>
    </row>
    <row r="89" spans="2:10" x14ac:dyDescent="0.3">
      <c r="E89" s="48"/>
    </row>
    <row r="90" spans="2:10" x14ac:dyDescent="0.3">
      <c r="E90" s="48"/>
    </row>
    <row r="91" spans="2:10" x14ac:dyDescent="0.3">
      <c r="E91" s="48"/>
    </row>
    <row r="92" spans="2:10" x14ac:dyDescent="0.3">
      <c r="F92" s="59"/>
    </row>
    <row r="93" spans="2:10" x14ac:dyDescent="0.3">
      <c r="F93" s="48"/>
    </row>
    <row r="94" spans="2:10" x14ac:dyDescent="0.3">
      <c r="F94" s="48"/>
    </row>
  </sheetData>
  <pageMargins left="0.7" right="0.7" top="0.75" bottom="0.75" header="0.3" footer="0.3"/>
  <pageSetup scale="50" orientation="portrait" r:id="rId1"/>
  <rowBreaks count="1" manualBreakCount="1">
    <brk id="66" max="16383" man="1"/>
  </rowBreaks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4B54-DE92-46AD-8810-2D7766CEDEBD}">
  <dimension ref="B2:G33"/>
  <sheetViews>
    <sheetView showGridLines="0" zoomScale="56" zoomScaleNormal="7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43" sqref="H43"/>
    </sheetView>
  </sheetViews>
  <sheetFormatPr defaultRowHeight="14.4" x14ac:dyDescent="0.3"/>
  <cols>
    <col min="2" max="2" width="34.33203125" customWidth="1"/>
    <col min="4" max="5" width="8.88671875" bestFit="1" customWidth="1"/>
    <col min="6" max="7" width="9.44140625" bestFit="1" customWidth="1"/>
  </cols>
  <sheetData>
    <row r="2" spans="2:7" ht="23.4" x14ac:dyDescent="0.45">
      <c r="B2" s="71" t="s">
        <v>186</v>
      </c>
    </row>
    <row r="3" spans="2:7" ht="23.4" x14ac:dyDescent="0.45">
      <c r="B3" s="71"/>
    </row>
    <row r="4" spans="2:7" ht="15.6" x14ac:dyDescent="0.3">
      <c r="B4" s="72" t="s">
        <v>187</v>
      </c>
      <c r="C4" s="72" t="s">
        <v>21</v>
      </c>
      <c r="D4" s="72" t="s">
        <v>145</v>
      </c>
      <c r="E4" s="72" t="s">
        <v>146</v>
      </c>
      <c r="F4" s="72" t="s">
        <v>147</v>
      </c>
      <c r="G4" s="72" t="s">
        <v>188</v>
      </c>
    </row>
    <row r="5" spans="2:7" ht="18" x14ac:dyDescent="0.35">
      <c r="B5" s="73" t="s">
        <v>189</v>
      </c>
    </row>
    <row r="6" spans="2:7" x14ac:dyDescent="0.3">
      <c r="B6" s="35" t="s">
        <v>149</v>
      </c>
      <c r="D6" s="88">
        <v>0.12</v>
      </c>
      <c r="E6" s="88">
        <v>0.13</v>
      </c>
      <c r="F6" s="88">
        <v>0.13</v>
      </c>
      <c r="G6" s="88">
        <v>0.1</v>
      </c>
    </row>
    <row r="7" spans="2:7" x14ac:dyDescent="0.3">
      <c r="B7" s="35" t="s">
        <v>150</v>
      </c>
      <c r="D7" s="88">
        <v>0.11</v>
      </c>
      <c r="E7" s="88">
        <v>0.12</v>
      </c>
      <c r="F7" s="88">
        <v>0.12</v>
      </c>
      <c r="G7" s="88">
        <v>0.09</v>
      </c>
    </row>
    <row r="8" spans="2:7" x14ac:dyDescent="0.3">
      <c r="B8" s="35" t="s">
        <v>190</v>
      </c>
      <c r="D8" s="88">
        <v>7.0000000000000007E-2</v>
      </c>
      <c r="E8" s="88">
        <v>7.0000000000000007E-2</v>
      </c>
      <c r="F8" s="88">
        <v>7.0000000000000007E-2</v>
      </c>
      <c r="G8" s="88">
        <v>0.05</v>
      </c>
    </row>
    <row r="9" spans="2:7" x14ac:dyDescent="0.3">
      <c r="B9" s="35" t="s">
        <v>191</v>
      </c>
      <c r="D9" s="88">
        <v>0.1</v>
      </c>
      <c r="E9" s="88">
        <v>0.1</v>
      </c>
      <c r="F9" s="88">
        <v>0.1</v>
      </c>
      <c r="G9" s="88">
        <v>0.06</v>
      </c>
    </row>
    <row r="11" spans="2:7" ht="18" x14ac:dyDescent="0.35">
      <c r="B11" s="73" t="s">
        <v>192</v>
      </c>
    </row>
    <row r="12" spans="2:7" x14ac:dyDescent="0.3">
      <c r="B12" s="35" t="s">
        <v>158</v>
      </c>
      <c r="D12" s="88">
        <v>5.2999999999999999E-2</v>
      </c>
      <c r="E12" s="88">
        <v>5.2499999999999998E-2</v>
      </c>
      <c r="F12" s="88">
        <v>5.1999999999999998E-2</v>
      </c>
      <c r="G12" s="88">
        <v>0.05</v>
      </c>
    </row>
    <row r="13" spans="2:7" x14ac:dyDescent="0.3">
      <c r="B13" s="35" t="s">
        <v>193</v>
      </c>
      <c r="D13" s="88">
        <v>0.62</v>
      </c>
      <c r="E13" s="88">
        <v>0.6</v>
      </c>
      <c r="F13" s="88">
        <v>0.57999999999999996</v>
      </c>
      <c r="G13" s="88">
        <v>0.56000000000000005</v>
      </c>
    </row>
    <row r="14" spans="2:7" x14ac:dyDescent="0.3">
      <c r="B14" s="35" t="s">
        <v>194</v>
      </c>
      <c r="D14" s="88">
        <v>1.7999999999999999E-2</v>
      </c>
      <c r="E14" s="88">
        <v>1.4999999999999999E-2</v>
      </c>
      <c r="F14" s="88">
        <v>1.2999999999999999E-2</v>
      </c>
      <c r="G14" s="88">
        <v>1.2E-2</v>
      </c>
    </row>
    <row r="15" spans="2:7" x14ac:dyDescent="0.3">
      <c r="B15" s="35" t="s">
        <v>195</v>
      </c>
      <c r="D15" s="88">
        <v>2.9000000000000001E-2</v>
      </c>
      <c r="E15" s="88">
        <v>0.03</v>
      </c>
      <c r="F15" s="88">
        <v>0.03</v>
      </c>
      <c r="G15" s="88">
        <v>0.03</v>
      </c>
    </row>
    <row r="17" spans="2:7" ht="18" x14ac:dyDescent="0.35">
      <c r="B17" s="74" t="s">
        <v>196</v>
      </c>
    </row>
    <row r="18" spans="2:7" x14ac:dyDescent="0.3">
      <c r="B18" s="35" t="s">
        <v>197</v>
      </c>
      <c r="D18" s="88">
        <v>0.25</v>
      </c>
      <c r="E18" s="88">
        <v>0.25</v>
      </c>
      <c r="F18" s="88">
        <v>0.25</v>
      </c>
      <c r="G18" s="88">
        <v>0.25</v>
      </c>
    </row>
    <row r="19" spans="2:7" x14ac:dyDescent="0.3">
      <c r="B19" s="35" t="s">
        <v>198</v>
      </c>
      <c r="D19" s="88">
        <v>0.12</v>
      </c>
      <c r="E19" s="88">
        <v>0.15</v>
      </c>
      <c r="F19" s="88">
        <v>0.18</v>
      </c>
      <c r="G19" s="88">
        <v>0.25</v>
      </c>
    </row>
    <row r="21" spans="2:7" ht="18" x14ac:dyDescent="0.35">
      <c r="B21" s="73" t="s">
        <v>199</v>
      </c>
    </row>
    <row r="22" spans="2:7" x14ac:dyDescent="0.3">
      <c r="B22" s="35" t="s">
        <v>200</v>
      </c>
      <c r="D22" s="88">
        <v>0.15</v>
      </c>
      <c r="E22" s="88">
        <v>0.15</v>
      </c>
      <c r="F22" s="88">
        <v>0.15</v>
      </c>
      <c r="G22" s="88">
        <v>0.15</v>
      </c>
    </row>
    <row r="23" spans="2:7" x14ac:dyDescent="0.3">
      <c r="B23" s="35" t="s">
        <v>201</v>
      </c>
      <c r="D23" s="88">
        <v>0.14000000000000001</v>
      </c>
      <c r="E23" s="88">
        <v>0.14000000000000001</v>
      </c>
      <c r="F23" s="88">
        <v>0.14000000000000001</v>
      </c>
      <c r="G23" s="88">
        <v>0.14000000000000001</v>
      </c>
    </row>
    <row r="24" spans="2:7" x14ac:dyDescent="0.3">
      <c r="B24" s="35" t="s">
        <v>173</v>
      </c>
      <c r="D24" s="88">
        <v>1.1000000000000001</v>
      </c>
      <c r="E24" s="88">
        <v>1.1000000000000001</v>
      </c>
      <c r="F24" s="88">
        <v>1.1000000000000001</v>
      </c>
      <c r="G24" s="88">
        <v>1.1000000000000001</v>
      </c>
    </row>
    <row r="26" spans="2:7" ht="18" x14ac:dyDescent="0.35">
      <c r="B26" s="73" t="s">
        <v>202</v>
      </c>
    </row>
    <row r="27" spans="2:7" x14ac:dyDescent="0.3">
      <c r="B27" s="35" t="s">
        <v>203</v>
      </c>
      <c r="D27" s="88">
        <v>0.13500000000000001</v>
      </c>
    </row>
    <row r="28" spans="2:7" x14ac:dyDescent="0.3">
      <c r="B28" s="35" t="s">
        <v>204</v>
      </c>
      <c r="D28" s="88">
        <v>0.04</v>
      </c>
    </row>
    <row r="30" spans="2:7" ht="18" x14ac:dyDescent="0.35">
      <c r="B30" s="73" t="s">
        <v>205</v>
      </c>
    </row>
    <row r="31" spans="2:7" x14ac:dyDescent="0.3">
      <c r="B31" t="s">
        <v>206</v>
      </c>
      <c r="D31" s="79">
        <f>Financials!F6/((Financials!F56+Financials!E56)/2)</f>
        <v>0.12711698353625717</v>
      </c>
      <c r="E31" s="79">
        <v>0.125</v>
      </c>
      <c r="F31" s="79">
        <v>0.123</v>
      </c>
    </row>
    <row r="32" spans="2:7" x14ac:dyDescent="0.3">
      <c r="B32" t="s">
        <v>207</v>
      </c>
      <c r="D32" s="79">
        <f>Financials!F7/((Financials!F57+Financials!E57)/2)</f>
        <v>6.9742684353945733E-2</v>
      </c>
      <c r="E32" s="79">
        <v>6.8000000000000005E-2</v>
      </c>
      <c r="F32" s="79">
        <v>6.7000000000000004E-2</v>
      </c>
    </row>
    <row r="33" spans="2:6" x14ac:dyDescent="0.3">
      <c r="B33" t="s">
        <v>208</v>
      </c>
      <c r="D33" s="79">
        <v>0.06</v>
      </c>
      <c r="E33" s="79">
        <v>0.06</v>
      </c>
      <c r="F33" s="79">
        <v>0.06</v>
      </c>
    </row>
  </sheetData>
  <pageMargins left="0.7" right="0.7" top="0.75" bottom="0.75" header="0.3" footer="0.3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7293-AE09-49B0-8112-B6D2EA0BC058}">
  <dimension ref="A2:L36"/>
  <sheetViews>
    <sheetView showGridLines="0" topLeftCell="B8" zoomScale="92" zoomScaleNormal="87" workbookViewId="0">
      <selection activeCell="P14" sqref="P14"/>
    </sheetView>
  </sheetViews>
  <sheetFormatPr defaultRowHeight="14.4" x14ac:dyDescent="0.3"/>
  <cols>
    <col min="1" max="1" width="20.6640625" customWidth="1"/>
    <col min="2" max="2" width="14.6640625" customWidth="1"/>
    <col min="4" max="4" width="9.6640625" customWidth="1"/>
    <col min="6" max="6" width="6.33203125" customWidth="1"/>
  </cols>
  <sheetData>
    <row r="2" spans="1:5" ht="23.4" x14ac:dyDescent="0.45">
      <c r="B2" s="71" t="s">
        <v>209</v>
      </c>
      <c r="C2" s="94"/>
      <c r="D2" s="94"/>
      <c r="E2" s="94"/>
    </row>
    <row r="6" spans="1:5" ht="14.4" customHeight="1" thickBot="1" x14ac:dyDescent="0.35">
      <c r="A6" s="91" t="s">
        <v>210</v>
      </c>
    </row>
    <row r="7" spans="1:5" ht="14.4" customHeight="1" thickTop="1" x14ac:dyDescent="0.4">
      <c r="A7" s="97" t="s">
        <v>211</v>
      </c>
      <c r="B7" s="97" t="s">
        <v>212</v>
      </c>
      <c r="C7" s="1"/>
      <c r="D7" s="1"/>
    </row>
    <row r="8" spans="1:5" x14ac:dyDescent="0.3">
      <c r="A8" s="35" t="s">
        <v>213</v>
      </c>
      <c r="B8" s="89">
        <f>B35</f>
        <v>0.13500000000000001</v>
      </c>
    </row>
    <row r="9" spans="1:5" x14ac:dyDescent="0.3">
      <c r="A9" s="35" t="s">
        <v>214</v>
      </c>
      <c r="B9" s="89">
        <f>B36</f>
        <v>0.04</v>
      </c>
    </row>
    <row r="12" spans="1:5" ht="16.2" thickBot="1" x14ac:dyDescent="0.35">
      <c r="A12" s="92" t="s">
        <v>215</v>
      </c>
    </row>
    <row r="13" spans="1:5" ht="15" thickTop="1" x14ac:dyDescent="0.3">
      <c r="A13" s="97" t="s">
        <v>216</v>
      </c>
      <c r="B13" s="97" t="s">
        <v>145</v>
      </c>
      <c r="C13" s="97" t="s">
        <v>146</v>
      </c>
      <c r="D13" s="97" t="s">
        <v>147</v>
      </c>
    </row>
    <row r="14" spans="1:5" x14ac:dyDescent="0.3">
      <c r="A14" s="35" t="s">
        <v>217</v>
      </c>
      <c r="B14" s="85">
        <f>-1*Schedule!G83</f>
        <v>221.4752289638927</v>
      </c>
      <c r="C14" s="85">
        <f>-1*Schedule!H83</f>
        <v>374.81133171450477</v>
      </c>
      <c r="D14" s="85">
        <f>-1*Schedule!I83</f>
        <v>565.21260566338299</v>
      </c>
    </row>
    <row r="15" spans="1:5" x14ac:dyDescent="0.3">
      <c r="A15" s="35" t="s">
        <v>218</v>
      </c>
      <c r="B15" s="93">
        <f>1/(1+$B$8)</f>
        <v>0.88105726872246692</v>
      </c>
      <c r="C15" s="93">
        <f>1/(1+$B$8)^2</f>
        <v>0.77626191076869333</v>
      </c>
      <c r="D15" s="93">
        <f>1/(1+$B$8)^3</f>
        <v>0.68393119891514842</v>
      </c>
    </row>
    <row r="16" spans="1:5" x14ac:dyDescent="0.3">
      <c r="A16" s="99" t="s">
        <v>219</v>
      </c>
      <c r="B16" s="98">
        <f>B15*B14</f>
        <v>195.1323603206103</v>
      </c>
      <c r="C16" s="98">
        <f t="shared" ref="C16:D16" si="0">C15*C14</f>
        <v>290.95176053446005</v>
      </c>
      <c r="D16" s="98">
        <f t="shared" si="0"/>
        <v>386.56653503331256</v>
      </c>
    </row>
    <row r="17" spans="1:12" ht="21" x14ac:dyDescent="0.4">
      <c r="J17" s="153" t="s">
        <v>220</v>
      </c>
    </row>
    <row r="19" spans="1:12" ht="18" x14ac:dyDescent="0.35">
      <c r="J19" s="74"/>
      <c r="K19" s="151" t="s">
        <v>213</v>
      </c>
    </row>
    <row r="20" spans="1:12" ht="16.2" thickBot="1" x14ac:dyDescent="0.35">
      <c r="A20" s="91" t="s">
        <v>221</v>
      </c>
    </row>
    <row r="21" spans="1:12" ht="15.6" thickTop="1" thickBot="1" x14ac:dyDescent="0.35">
      <c r="A21" s="97" t="s">
        <v>211</v>
      </c>
      <c r="B21" s="97" t="s">
        <v>212</v>
      </c>
      <c r="C21" s="95"/>
      <c r="D21" s="95"/>
      <c r="I21" s="142">
        <f>DDM!B32</f>
        <v>83.717084854265607</v>
      </c>
      <c r="J21" s="139">
        <v>0.125</v>
      </c>
      <c r="K21" s="140">
        <f>Assumptions!D27</f>
        <v>0.13500000000000001</v>
      </c>
      <c r="L21" s="141">
        <v>0.14499999999999999</v>
      </c>
    </row>
    <row r="22" spans="1:12" ht="15" thickTop="1" x14ac:dyDescent="0.3">
      <c r="A22" s="35" t="s">
        <v>222</v>
      </c>
      <c r="B22" s="59">
        <f>D14*(1+B9)/(B8-B9)</f>
        <v>6187.5906304201935</v>
      </c>
      <c r="I22" s="137">
        <v>0.03</v>
      </c>
      <c r="J22" s="146">
        <f t="dataTable" ref="J22:L24" dt2D="1" dtr="1" r1="B35" r2="B36"/>
        <v>85.183303534945694</v>
      </c>
      <c r="K22" s="148">
        <v>76.503270554334676</v>
      </c>
      <c r="L22" s="149">
        <v>69.344909186456761</v>
      </c>
    </row>
    <row r="23" spans="1:12" ht="15.6" x14ac:dyDescent="0.3">
      <c r="A23" s="35" t="s">
        <v>223</v>
      </c>
      <c r="B23" s="93">
        <f>D15</f>
        <v>0.68393119891514842</v>
      </c>
      <c r="G23" s="152" t="s">
        <v>214</v>
      </c>
      <c r="I23" s="137">
        <f>Assumptions!D28</f>
        <v>0.04</v>
      </c>
      <c r="J23" s="143">
        <v>94.253611018790508</v>
      </c>
      <c r="K23" s="150">
        <v>83.717084854265607</v>
      </c>
      <c r="L23" s="149">
        <v>75.200510142696317</v>
      </c>
    </row>
    <row r="24" spans="1:12" ht="15" thickBot="1" x14ac:dyDescent="0.35">
      <c r="A24" s="100" t="s">
        <v>224</v>
      </c>
      <c r="B24" s="136">
        <f>B23*B22</f>
        <v>4231.8862782594224</v>
      </c>
      <c r="I24" s="138">
        <v>0.05</v>
      </c>
      <c r="J24" s="144">
        <v>105.74266716499392</v>
      </c>
      <c r="K24" s="145">
        <v>92.628267224768479</v>
      </c>
      <c r="L24" s="147">
        <v>82.288869194986304</v>
      </c>
    </row>
    <row r="25" spans="1:12" ht="15" thickTop="1" x14ac:dyDescent="0.3"/>
    <row r="27" spans="1:12" ht="16.2" thickBot="1" x14ac:dyDescent="0.35">
      <c r="A27" s="91" t="s">
        <v>202</v>
      </c>
      <c r="I27" s="50" t="s">
        <v>225</v>
      </c>
    </row>
    <row r="28" spans="1:12" ht="15" thickTop="1" x14ac:dyDescent="0.3">
      <c r="A28" s="97" t="s">
        <v>211</v>
      </c>
      <c r="B28" s="97" t="s">
        <v>212</v>
      </c>
      <c r="C28" s="95"/>
      <c r="D28" s="95"/>
    </row>
    <row r="29" spans="1:12" x14ac:dyDescent="0.3">
      <c r="A29" s="101" t="s">
        <v>226</v>
      </c>
      <c r="B29" s="103">
        <f>SUM(B16:D16)</f>
        <v>872.65065588838297</v>
      </c>
      <c r="C29" s="95"/>
      <c r="D29" s="95"/>
    </row>
    <row r="30" spans="1:12" x14ac:dyDescent="0.3">
      <c r="A30" s="102" t="s">
        <v>227</v>
      </c>
      <c r="B30" s="104">
        <f>B29+B24</f>
        <v>5104.5369341478054</v>
      </c>
    </row>
    <row r="31" spans="1:12" ht="15" thickBot="1" x14ac:dyDescent="0.35">
      <c r="A31" s="35" t="s">
        <v>228</v>
      </c>
      <c r="B31" s="82">
        <f>Financials!F34</f>
        <v>609736584</v>
      </c>
      <c r="C31" s="90"/>
      <c r="D31" s="90"/>
    </row>
    <row r="32" spans="1:12" ht="15.6" thickTop="1" thickBot="1" x14ac:dyDescent="0.35">
      <c r="A32" s="96" t="s">
        <v>229</v>
      </c>
      <c r="B32" s="105">
        <f>(B30*10000000)/B31</f>
        <v>83.717084854265607</v>
      </c>
    </row>
    <row r="33" spans="1:2" ht="15" thickTop="1" x14ac:dyDescent="0.3"/>
    <row r="35" spans="1:2" x14ac:dyDescent="0.3">
      <c r="A35" t="s">
        <v>230</v>
      </c>
      <c r="B35" s="83">
        <f>Assumptions!D27</f>
        <v>0.13500000000000001</v>
      </c>
    </row>
    <row r="36" spans="1:2" x14ac:dyDescent="0.3">
      <c r="A36" t="s">
        <v>231</v>
      </c>
      <c r="B36" s="83">
        <f>Assumptions!D28</f>
        <v>0.04</v>
      </c>
    </row>
  </sheetData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Cover</vt:lpstr>
      <vt:lpstr>Raw Data</vt:lpstr>
      <vt:lpstr>Financials</vt:lpstr>
      <vt:lpstr>Schedule</vt:lpstr>
      <vt:lpstr>Assumptions</vt:lpstr>
      <vt:lpstr>DDM</vt:lpstr>
      <vt:lpstr>Divisor_Cr</vt:lpstr>
      <vt:lpstr>Assumptions!Print_Area</vt:lpstr>
      <vt:lpstr>Cover!Print_Area</vt:lpstr>
      <vt:lpstr>DDM!Print_Area</vt:lpstr>
      <vt:lpstr>Financials!Print_Area</vt:lpstr>
      <vt:lpstr>'Raw Data'!Print_Area</vt:lpstr>
      <vt:lpstr>Schedule!Print_Area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Mittal</dc:creator>
  <cp:keywords/>
  <dc:description/>
  <cp:lastModifiedBy>vedaansh.mittal@gmail.com</cp:lastModifiedBy>
  <cp:revision/>
  <cp:lastPrinted>2026-03-25T16:21:25Z</cp:lastPrinted>
  <dcterms:created xsi:type="dcterms:W3CDTF">2026-02-24T17:25:35Z</dcterms:created>
  <dcterms:modified xsi:type="dcterms:W3CDTF">2026-07-04T11:20:30Z</dcterms:modified>
  <cp:category/>
  <cp:contentStatus/>
</cp:coreProperties>
</file>